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ei275\Documents\GitHub\311\Excel\"/>
    </mc:Choice>
  </mc:AlternateContent>
  <xr:revisionPtr revIDLastSave="0" documentId="13_ncr:1_{47A88C92-6112-4207-A705-BBFCD1255174}" xr6:coauthVersionLast="47" xr6:coauthVersionMax="47" xr10:uidLastSave="{00000000-0000-0000-0000-000000000000}"/>
  <bookViews>
    <workbookView xWindow="-120" yWindow="-120" windowWidth="29040" windowHeight="15720" xr2:uid="{0EA872C3-4804-43CB-9F0B-5F94DB7B4351}"/>
  </bookViews>
  <sheets>
    <sheet name="SS_Analysis" sheetId="1" r:id="rId1"/>
    <sheet name="Inductor_D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8" i="1" l="1"/>
  <c r="J76" i="1"/>
  <c r="H68" i="1"/>
  <c r="H70" i="1"/>
  <c r="H76" i="1"/>
  <c r="F76" i="1"/>
  <c r="D76" i="1"/>
  <c r="B76" i="1"/>
  <c r="F68" i="1"/>
  <c r="D68" i="1"/>
  <c r="B68" i="1"/>
  <c r="B19" i="1"/>
  <c r="B21" i="1"/>
  <c r="J46" i="1"/>
  <c r="J45" i="1"/>
  <c r="J47" i="1" s="1"/>
  <c r="H46" i="1"/>
  <c r="H45" i="1"/>
  <c r="H47" i="1" s="1"/>
  <c r="H51" i="1" s="1"/>
  <c r="H53" i="1" s="1"/>
  <c r="H44" i="1"/>
  <c r="H52" i="1" s="1"/>
  <c r="F46" i="1"/>
  <c r="F45" i="1"/>
  <c r="F47" i="1" s="1"/>
  <c r="F54" i="1" s="1"/>
  <c r="F44" i="1"/>
  <c r="F104" i="1" s="1"/>
  <c r="D46" i="1"/>
  <c r="D45" i="1"/>
  <c r="D47" i="1" s="1"/>
  <c r="D49" i="1" s="1"/>
  <c r="D44" i="1"/>
  <c r="D52" i="1" s="1"/>
  <c r="B45" i="1"/>
  <c r="B47" i="1" s="1"/>
  <c r="B32" i="1"/>
  <c r="B22" i="1"/>
  <c r="B23" i="1" s="1"/>
  <c r="B20" i="1"/>
  <c r="B18" i="1"/>
  <c r="B17" i="1"/>
  <c r="H57" i="1" l="1"/>
  <c r="D57" i="1"/>
  <c r="H54" i="1"/>
  <c r="J54" i="1"/>
  <c r="B33" i="1"/>
  <c r="D54" i="1"/>
  <c r="F52" i="1"/>
  <c r="F57" i="1" s="1"/>
  <c r="J49" i="1"/>
  <c r="J50" i="1"/>
  <c r="J51" i="1"/>
  <c r="J53" i="1" s="1"/>
  <c r="D51" i="1"/>
  <c r="D53" i="1" s="1"/>
  <c r="H49" i="1"/>
  <c r="D50" i="1"/>
  <c r="H50" i="1"/>
  <c r="F49" i="1"/>
  <c r="F50" i="1"/>
  <c r="F51" i="1"/>
  <c r="F53" i="1" s="1"/>
  <c r="J44" i="1"/>
  <c r="J52" i="1" s="1"/>
  <c r="J57" i="1" s="1"/>
  <c r="B34" i="1"/>
  <c r="B24" i="1"/>
  <c r="B11" i="2"/>
  <c r="B6" i="2"/>
  <c r="D63" i="1" l="1"/>
  <c r="B43" i="1"/>
  <c r="B46" i="1" s="1"/>
  <c r="B54" i="1" s="1"/>
  <c r="F63" i="1"/>
  <c r="J64" i="1"/>
  <c r="D64" i="1"/>
  <c r="J104" i="1"/>
  <c r="H63" i="1"/>
  <c r="B49" i="1" l="1"/>
  <c r="B44" i="1"/>
  <c r="B64" i="1"/>
  <c r="B7" i="2"/>
  <c r="F64" i="1"/>
  <c r="F48" i="1"/>
  <c r="H64" i="1"/>
  <c r="D104" i="1"/>
  <c r="H104" i="1"/>
  <c r="J63" i="1"/>
  <c r="B104" i="1" l="1"/>
  <c r="B52" i="1"/>
  <c r="B57" i="1" s="1"/>
  <c r="B63" i="1"/>
  <c r="B51" i="1"/>
  <c r="B53" i="1" s="1"/>
  <c r="B50" i="1"/>
  <c r="B48" i="1"/>
  <c r="H48" i="1"/>
  <c r="B9" i="2"/>
  <c r="D48" i="1"/>
  <c r="B8" i="2"/>
  <c r="B36" i="2" s="1"/>
  <c r="J48" i="1"/>
</calcChain>
</file>

<file path=xl/sharedStrings.xml><?xml version="1.0" encoding="utf-8"?>
<sst xmlns="http://schemas.openxmlformats.org/spreadsheetml/2006/main" count="400" uniqueCount="167">
  <si>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</si>
  <si>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</si>
  <si>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</si>
  <si>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</si>
  <si>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</si>
  <si>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</si>
  <si>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</si>
  <si>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</si>
  <si>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</si>
  <si>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Output Capacitor (Theoretical)</t>
  </si>
  <si>
    <t>Max Vo Ripple</t>
  </si>
  <si>
    <t>Min Co</t>
  </si>
  <si>
    <t>Selected Co</t>
  </si>
  <si>
    <t>Evaluating Steady-State Operating Conditions (Theoretical)</t>
  </si>
  <si>
    <t>Vout</t>
  </si>
  <si>
    <t>Pout</t>
  </si>
  <si>
    <t>RLoad</t>
  </si>
  <si>
    <t>Operating D</t>
  </si>
  <si>
    <t>DCM Achieved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</si>
  <si>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</si>
  <si>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</si>
  <si>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</si>
  <si>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</si>
  <si>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</si>
  <si>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</si>
  <si>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</si>
  <si>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</si>
  <si>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</si>
  <si>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</si>
  <si>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</si>
  <si>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</si>
  <si>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</si>
  <si>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</si>
  <si>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</si>
  <si>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Steady State Vout</t>
  </si>
  <si>
    <t>Settling Time (+/- 5%)</t>
  </si>
  <si>
    <t>ms</t>
  </si>
  <si>
    <t>Max Vin(avg)</t>
  </si>
  <si>
    <t>Min Vin(avg)</t>
  </si>
  <si>
    <t>Nominal Vout(avg)</t>
  </si>
  <si>
    <t>Vin</t>
  </si>
  <si>
    <t>Min Operating D</t>
  </si>
  <si>
    <t>Max Operating D</t>
  </si>
  <si>
    <t>A</t>
  </si>
  <si>
    <t>D for Max L for CCM</t>
  </si>
  <si>
    <t>Min L for CCM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</si>
  <si>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</si>
  <si>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</si>
  <si>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</si>
  <si>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</si>
  <si>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</si>
  <si>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</si>
  <si>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</si>
  <si>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</si>
  <si>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</si>
  <si>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</si>
  <si>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Evaluating Key Inductor Parameters for CCM (Theoretical)</t>
  </si>
  <si>
    <t>Max Pout(avg)</t>
  </si>
  <si>
    <t>Min Pout(avg)</t>
  </si>
  <si>
    <t>Boost Conveter Design - Part I</t>
  </si>
  <si>
    <t>Max IL(avg) = Iin(avg)</t>
  </si>
  <si>
    <t>Min IL(avg) = Iin(avg)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</si>
  <si>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</si>
  <si>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</si>
  <si>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</si>
  <si>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</si>
  <si>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</si>
  <si>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</si>
  <si>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</si>
  <si>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</si>
  <si>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</si>
  <si>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</si>
  <si>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</si>
  <si>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</si>
  <si>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</si>
  <si>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</si>
  <si>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</si>
  <si>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</si>
  <si>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</si>
  <si>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</si>
  <si>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</si>
  <si>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</si>
  <si>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</si>
  <si>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</si>
  <si>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</si>
  <si>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</si>
  <si>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Np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</si>
  <si>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</si>
  <si>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</si>
  <si>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</si>
  <si>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</si>
  <si>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</si>
  <si>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</si>
  <si>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</si>
  <si>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</si>
  <si>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</si>
  <si>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</si>
  <si>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</si>
  <si>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Parallel Wires</t>
  </si>
  <si>
    <t>Rdc of Inductor</t>
  </si>
  <si>
    <t>Experimental Results</t>
  </si>
  <si>
    <t>Inductance</t>
  </si>
  <si>
    <t>Rac</t>
  </si>
  <si>
    <t>mOhm</t>
  </si>
  <si>
    <t>Selected L</t>
  </si>
  <si>
    <t>(1-1)</t>
  </si>
  <si>
    <t>(1-2)</t>
  </si>
  <si>
    <t>A (1-3)</t>
  </si>
  <si>
    <t>A (1-4)</t>
  </si>
  <si>
    <t>(1-5)</t>
  </si>
  <si>
    <t>µF</t>
  </si>
  <si>
    <t>Ohms (1-8)</t>
  </si>
  <si>
    <t>(1-9)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</si>
  <si>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</si>
  <si>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</si>
  <si>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</si>
  <si>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</si>
  <si>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</si>
  <si>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</si>
  <si>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</si>
  <si>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</si>
  <si>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</si>
  <si>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</si>
  <si>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</si>
  <si>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</si>
  <si>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</si>
  <si>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</si>
  <si>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</si>
  <si>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</si>
  <si>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</si>
  <si>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</si>
  <si>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</si>
  <si>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</si>
  <si>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</si>
  <si>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</si>
  <si>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</si>
  <si>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kOhms (1-21)</t>
  </si>
  <si>
    <t>kOhms (1-22)</t>
  </si>
  <si>
    <t>pF (1-23)</t>
  </si>
  <si>
    <t>kOhms (1-24)</t>
  </si>
  <si>
    <t>kOhms (1-25)</t>
  </si>
  <si>
    <t>pF (1-26)</t>
  </si>
  <si>
    <t>Boost Design Specifications</t>
  </si>
  <si>
    <t xml:space="preserve">mm </t>
  </si>
  <si>
    <t>Turns (1-1)</t>
  </si>
  <si>
    <t>T (1-2)</t>
  </si>
  <si>
    <t>mm (1-3)</t>
  </si>
  <si>
    <t>mm^2 (1-4)</t>
  </si>
  <si>
    <t>mOhms (1-5)</t>
  </si>
  <si>
    <t>W (1-6)</t>
  </si>
  <si>
    <t>Rdc</t>
  </si>
  <si>
    <t>Rload-crit</t>
  </si>
  <si>
    <t>Min L with 20% margin</t>
  </si>
  <si>
    <t>Max Iout</t>
  </si>
  <si>
    <t>Min Co with 20% margin</t>
  </si>
  <si>
    <t>µF (1-7)</t>
  </si>
  <si>
    <t>Ω</t>
  </si>
  <si>
    <t>µH (1-6)</t>
  </si>
  <si>
    <t>Iin(min) = IL(min)</t>
  </si>
  <si>
    <t>Schottky Diode</t>
  </si>
  <si>
    <t xml:space="preserve">SSA34-E3/61T </t>
  </si>
  <si>
    <t>0.46V (@3A)</t>
  </si>
  <si>
    <t>Yes</t>
  </si>
  <si>
    <t>Vout (avg)</t>
  </si>
  <si>
    <t>Pout (avg)</t>
  </si>
  <si>
    <t>mV</t>
  </si>
  <si>
    <t>30 - 300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</si>
</sst>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E+00"/>
    <numFmt numFmtId="166" formatCode="0.000"/>
    <numFmt numFmtId="167" formatCode="0.00000"/>
    <numFmt numFmtId="168" formatCode="0.000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000000"/>
      </top>
      <bottom style="double">
        <color rgb="FF000000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000000"/>
      </bottom>
      <diagonal/>
    </border>
    <border>
      <left style="thin">
        <color rgb="FF3F3F3F"/>
      </left>
      <right style="double">
        <color rgb="FF3F3F3F"/>
      </right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0" fillId="0" borderId="4" xfId="0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2" fontId="0" fillId="0" borderId="9" xfId="0" applyNumberFormat="1" applyBorder="1"/>
    <xf numFmtId="49" fontId="0" fillId="0" borderId="3" xfId="0" applyNumberFormat="1" applyBorder="1"/>
    <xf numFmtId="49" fontId="0" fillId="0" borderId="16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2" fontId="0" fillId="4" borderId="6" xfId="0" applyNumberForma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1" fillId="3" borderId="18" xfId="2" applyBorder="1"/>
    <xf numFmtId="2" fontId="0" fillId="0" borderId="19" xfId="0" applyNumberFormat="1" applyBorder="1"/>
    <xf numFmtId="49" fontId="0" fillId="0" borderId="19" xfId="0" applyNumberFormat="1" applyBorder="1"/>
    <xf numFmtId="49" fontId="0" fillId="0" borderId="9" xfId="0" applyNumberFormat="1" applyBorder="1"/>
    <xf numFmtId="49" fontId="0" fillId="0" borderId="20" xfId="0" applyNumberFormat="1" applyBorder="1"/>
    <xf numFmtId="164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2" fontId="0" fillId="4" borderId="19" xfId="0" applyNumberFormat="1" applyFill="1" applyBorder="1"/>
    <xf numFmtId="0" fontId="0" fillId="0" borderId="22" xfId="0" applyBorder="1"/>
    <xf numFmtId="2" fontId="0" fillId="4" borderId="15" xfId="0" applyNumberFormat="1" applyFill="1" applyBorder="1"/>
    <xf numFmtId="49" fontId="0" fillId="0" borderId="15" xfId="0" applyNumberFormat="1" applyBorder="1"/>
    <xf numFmtId="49" fontId="0" fillId="0" borderId="24" xfId="0" applyNumberFormat="1" applyBorder="1"/>
    <xf numFmtId="0" fontId="0" fillId="3" borderId="23" xfId="2" applyFont="1" applyBorder="1"/>
    <xf numFmtId="0" fontId="0" fillId="3" borderId="25" xfId="2" applyFont="1" applyBorder="1"/>
    <xf numFmtId="49" fontId="0" fillId="0" borderId="27" xfId="0" applyNumberFormat="1" applyBorder="1"/>
    <xf numFmtId="0" fontId="0" fillId="3" borderId="28" xfId="2" applyFont="1" applyBorder="1"/>
    <xf numFmtId="49" fontId="0" fillId="0" borderId="30" xfId="0" applyNumberFormat="1" applyBorder="1"/>
    <xf numFmtId="0" fontId="0" fillId="3" borderId="31" xfId="2" applyFont="1" applyBorder="1"/>
    <xf numFmtId="2" fontId="0" fillId="0" borderId="32" xfId="0" applyNumberFormat="1" applyBorder="1"/>
    <xf numFmtId="49" fontId="0" fillId="0" borderId="33" xfId="0" applyNumberFormat="1" applyBorder="1"/>
    <xf numFmtId="0" fontId="0" fillId="3" borderId="11" xfId="2" applyFont="1" applyBorder="1"/>
    <xf numFmtId="2" fontId="0" fillId="5" borderId="3" xfId="0" applyNumberFormat="1" applyFill="1" applyBorder="1"/>
    <xf numFmtId="2" fontId="0" fillId="5" borderId="15" xfId="0" applyNumberFormat="1" applyFill="1" applyBorder="1"/>
    <xf numFmtId="2" fontId="0" fillId="5" borderId="6" xfId="0" applyNumberFormat="1" applyFill="1" applyBorder="1"/>
    <xf numFmtId="0" fontId="0" fillId="3" borderId="35" xfId="2" applyFont="1" applyBorder="1"/>
    <xf numFmtId="2" fontId="0" fillId="0" borderId="36" xfId="0" applyNumberFormat="1" applyBorder="1"/>
    <xf numFmtId="49" fontId="0" fillId="0" borderId="37" xfId="0" applyNumberFormat="1" applyBorder="1"/>
    <xf numFmtId="0" fontId="1" fillId="3" borderId="38" xfId="2" applyBorder="1"/>
    <xf numFmtId="164" fontId="0" fillId="4" borderId="39" xfId="0" applyNumberFormat="1" applyFill="1" applyBorder="1" applyAlignment="1">
      <alignment horizontal="right"/>
    </xf>
    <xf numFmtId="49" fontId="0" fillId="0" borderId="40" xfId="0" applyNumberFormat="1" applyBorder="1"/>
    <xf numFmtId="0" fontId="1" fillId="3" borderId="41" xfId="2" applyBorder="1"/>
    <xf numFmtId="0" fontId="0" fillId="4" borderId="34" xfId="0" applyFill="1" applyBorder="1" applyAlignment="1">
      <alignment horizontal="right"/>
    </xf>
    <xf numFmtId="0" fontId="0" fillId="0" borderId="42" xfId="0" applyBorder="1"/>
    <xf numFmtId="2" fontId="0" fillId="0" borderId="34" xfId="0" applyNumberFormat="1" applyBorder="1"/>
    <xf numFmtId="165" fontId="0" fillId="0" borderId="34" xfId="0" applyNumberFormat="1" applyBorder="1"/>
    <xf numFmtId="0" fontId="1" fillId="3" borderId="43" xfId="2" applyBorder="1"/>
    <xf numFmtId="165" fontId="0" fillId="0" borderId="44" xfId="0" applyNumberFormat="1" applyBorder="1"/>
    <xf numFmtId="0" fontId="1" fillId="3" borderId="45" xfId="2" applyBorder="1"/>
    <xf numFmtId="2" fontId="0" fillId="4" borderId="46" xfId="0" applyNumberFormat="1" applyFill="1" applyBorder="1"/>
    <xf numFmtId="0" fontId="0" fillId="0" borderId="47" xfId="0" applyBorder="1"/>
    <xf numFmtId="0" fontId="0" fillId="4" borderId="39" xfId="0" applyFill="1" applyBorder="1"/>
    <xf numFmtId="0" fontId="0" fillId="0" borderId="40" xfId="0" applyBorder="1"/>
    <xf numFmtId="2" fontId="0" fillId="0" borderId="0" xfId="0" applyNumberFormat="1"/>
    <xf numFmtId="0" fontId="1" fillId="3" borderId="48" xfId="2" applyBorder="1"/>
    <xf numFmtId="0" fontId="0" fillId="0" borderId="49" xfId="0" applyBorder="1"/>
    <xf numFmtId="0" fontId="0" fillId="0" borderId="50" xfId="0" applyBorder="1"/>
    <xf numFmtId="166" fontId="0" fillId="0" borderId="49" xfId="0" applyNumberFormat="1" applyBorder="1"/>
    <xf numFmtId="167" fontId="0" fillId="0" borderId="0" xfId="0" applyNumberFormat="1"/>
    <xf numFmtId="0" fontId="0" fillId="4" borderId="49" xfId="0" applyFill="1" applyBorder="1" applyAlignment="1">
      <alignment horizontal="right"/>
    </xf>
    <xf numFmtId="0" fontId="0" fillId="4" borderId="49" xfId="0" applyFill="1" applyBorder="1"/>
    <xf numFmtId="0" fontId="0" fillId="3" borderId="48" xfId="2" applyFont="1" applyBorder="1"/>
    <xf numFmtId="0" fontId="0" fillId="3" borderId="51" xfId="2" applyFont="1" applyBorder="1"/>
    <xf numFmtId="0" fontId="1" fillId="3" borderId="52" xfId="2" applyBorder="1"/>
    <xf numFmtId="2" fontId="0" fillId="0" borderId="53" xfId="0" applyNumberFormat="1" applyBorder="1"/>
    <xf numFmtId="0" fontId="0" fillId="0" borderId="54" xfId="0" applyBorder="1"/>
    <xf numFmtId="0" fontId="0" fillId="3" borderId="8" xfId="2" applyFont="1" applyBorder="1"/>
    <xf numFmtId="0" fontId="0" fillId="0" borderId="55" xfId="0" applyBorder="1"/>
    <xf numFmtId="0" fontId="0" fillId="0" borderId="56" xfId="0" applyBorder="1"/>
    <xf numFmtId="0" fontId="0" fillId="0" borderId="34" xfId="0" applyBorder="1"/>
    <xf numFmtId="9" fontId="0" fillId="0" borderId="26" xfId="3" applyFont="1" applyBorder="1"/>
    <xf numFmtId="9" fontId="0" fillId="0" borderId="29" xfId="3" applyFont="1" applyBorder="1"/>
    <xf numFmtId="9" fontId="0" fillId="0" borderId="12" xfId="3" applyFont="1" applyBorder="1"/>
    <xf numFmtId="0" fontId="0" fillId="0" borderId="12" xfId="3" applyNumberFormat="1" applyFont="1" applyBorder="1"/>
    <xf numFmtId="0" fontId="0" fillId="3" borderId="18" xfId="2" applyFont="1" applyBorder="1"/>
    <xf numFmtId="1" fontId="0" fillId="4" borderId="9" xfId="0" applyNumberFormat="1" applyFill="1" applyBorder="1"/>
    <xf numFmtId="0" fontId="1" fillId="3" borderId="58" xfId="2" applyBorder="1"/>
    <xf numFmtId="2" fontId="0" fillId="6" borderId="57" xfId="0" applyNumberFormat="1" applyFill="1" applyBorder="1"/>
    <xf numFmtId="49" fontId="0" fillId="0" borderId="22" xfId="0" applyNumberFormat="1" applyBorder="1"/>
    <xf numFmtId="9" fontId="0" fillId="0" borderId="6" xfId="3" applyFont="1" applyBorder="1"/>
    <xf numFmtId="168" fontId="0" fillId="4" borderId="6" xfId="0" applyNumberFormat="1" applyFill="1" applyBorder="1" applyAlignment="1">
      <alignment horizontal="right"/>
    </xf>
    <xf numFmtId="166" fontId="0" fillId="0" borderId="6" xfId="0" applyNumberFormat="1" applyBorder="1"/>
    <xf numFmtId="166" fontId="0" fillId="0" borderId="19" xfId="0" applyNumberFormat="1" applyBorder="1"/>
    <xf numFmtId="166" fontId="0" fillId="0" borderId="9" xfId="0" applyNumberFormat="1" applyBorder="1"/>
    <xf numFmtId="2" fontId="0" fillId="0" borderId="57" xfId="0" applyNumberFormat="1" applyBorder="1"/>
    <xf numFmtId="2" fontId="0" fillId="0" borderId="19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166" fontId="0" fillId="0" borderId="0" xfId="0" applyNumberFormat="1"/>
    <xf numFmtId="169" fontId="0" fillId="0" borderId="0" xfId="0" applyNumberFormat="1"/>
    <xf numFmtId="164" fontId="0" fillId="0" borderId="12" xfId="0" applyNumberFormat="1" applyBorder="1"/>
  </cellXfs>
  <cellStyles count="4">
    <cellStyle name="20% - Accent1" xfId="2" builtinId="30"/>
    <cellStyle name="Check Cell" xfId="1" builtinId="23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80</xdr:row>
      <xdr:rowOff>0</xdr:rowOff>
    </xdr:from>
    <xdr:to>
      <xdr:col>7</xdr:col>
      <xdr:colOff>413385</xdr:colOff>
      <xdr:row>97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82550-DAD8-4D49-6803-D63786B0B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3420" y="15316200"/>
          <a:ext cx="3362325" cy="317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N108"/>
  <sheetViews>
    <sheetView tabSelected="1" topLeftCell="A69" zoomScale="160" zoomScaleNormal="160" workbookViewId="0">
      <selection activeCell="D107" sqref="D107"/>
    </sheetView>
  </sheetViews>
  <sheetFormatPr defaultColWidth="12" defaultRowHeight="14.25" x14ac:dyDescent="0.2"/>
  <cols>
    <col min="1" max="1" width="20.375" customWidth="1"/>
    <col min="2" max="11" width="12.875" customWidth="1"/>
    <col min="12" max="12" width="17.375" customWidth="1"/>
    <col min="13" max="13" width="18.875" customWidth="1"/>
  </cols>
  <sheetData>
    <row r="1" spans="1:3" ht="20.25" x14ac:dyDescent="0.3">
      <c r="A1" s="1" t="s">
        <v>59</v>
      </c>
    </row>
    <row r="3" spans="1:3" ht="18" x14ac:dyDescent="0.25">
      <c r="A3" s="2" t="s">
        <v>142</v>
      </c>
    </row>
    <row r="4" spans="1:3" ht="15" thickBot="1" x14ac:dyDescent="0.25"/>
    <row r="5" spans="1:3" ht="16.5" thickTop="1" thickBot="1" x14ac:dyDescent="0.3">
      <c r="A5" s="3" t="s">
        <v>0</v>
      </c>
      <c r="B5" s="3" t="s">
        <v>1</v>
      </c>
      <c r="C5" s="3" t="s">
        <v>2</v>
      </c>
    </row>
    <row r="6" spans="1:3" ht="15" thickTop="1" x14ac:dyDescent="0.2">
      <c r="A6" s="38" t="s">
        <v>37</v>
      </c>
      <c r="B6" s="5">
        <v>3.5</v>
      </c>
      <c r="C6" s="6" t="s">
        <v>3</v>
      </c>
    </row>
    <row r="7" spans="1:3" x14ac:dyDescent="0.2">
      <c r="A7" s="39" t="s">
        <v>38</v>
      </c>
      <c r="B7" s="8">
        <v>2.5</v>
      </c>
      <c r="C7" s="9" t="s">
        <v>3</v>
      </c>
    </row>
    <row r="8" spans="1:3" x14ac:dyDescent="0.2">
      <c r="A8" s="39" t="s">
        <v>39</v>
      </c>
      <c r="B8" s="8">
        <v>5</v>
      </c>
      <c r="C8" s="9" t="s">
        <v>3</v>
      </c>
    </row>
    <row r="9" spans="1:3" x14ac:dyDescent="0.2">
      <c r="A9" s="39" t="s">
        <v>57</v>
      </c>
      <c r="B9" s="8">
        <v>5</v>
      </c>
      <c r="C9" s="9" t="s">
        <v>4</v>
      </c>
    </row>
    <row r="10" spans="1:3" x14ac:dyDescent="0.2">
      <c r="A10" s="39" t="s">
        <v>58</v>
      </c>
      <c r="B10" s="40">
        <v>0.5</v>
      </c>
      <c r="C10" s="41" t="s">
        <v>4</v>
      </c>
    </row>
    <row r="11" spans="1:3" ht="15" thickBot="1" x14ac:dyDescent="0.25">
      <c r="A11" s="10" t="s">
        <v>5</v>
      </c>
      <c r="B11" s="11">
        <v>100</v>
      </c>
      <c r="C11" s="12" t="s">
        <v>6</v>
      </c>
    </row>
    <row r="12" spans="1:3" ht="16.5" thickTop="1" x14ac:dyDescent="0.25">
      <c r="A12" s="13"/>
    </row>
    <row r="14" spans="1:3" ht="18" x14ac:dyDescent="0.25">
      <c r="A14" s="2" t="s">
        <v>56</v>
      </c>
    </row>
    <row r="15" spans="1:3" ht="15" thickBot="1" x14ac:dyDescent="0.25"/>
    <row r="16" spans="1:3" ht="16.5" thickTop="1" thickBot="1" x14ac:dyDescent="0.3">
      <c r="A16" s="3" t="s">
        <v>0</v>
      </c>
      <c r="B16" s="3" t="s">
        <v>1</v>
      </c>
      <c r="C16" s="3" t="s">
        <v>7</v>
      </c>
    </row>
    <row r="17" spans="1:3" ht="15" thickTop="1" x14ac:dyDescent="0.2">
      <c r="A17" s="46" t="s">
        <v>42</v>
      </c>
      <c r="B17" s="92">
        <f>1-(B7/B8)</f>
        <v>0.5</v>
      </c>
      <c r="C17" s="47" t="s">
        <v>105</v>
      </c>
    </row>
    <row r="18" spans="1:3" x14ac:dyDescent="0.2">
      <c r="A18" s="48" t="s">
        <v>41</v>
      </c>
      <c r="B18" s="93">
        <f>1-(B6/B9)</f>
        <v>0.30000000000000004</v>
      </c>
      <c r="C18" s="49" t="s">
        <v>106</v>
      </c>
    </row>
    <row r="19" spans="1:3" x14ac:dyDescent="0.2">
      <c r="A19" s="57" t="s">
        <v>60</v>
      </c>
      <c r="B19" s="58">
        <f>B9/B7</f>
        <v>2</v>
      </c>
      <c r="C19" s="59" t="s">
        <v>107</v>
      </c>
    </row>
    <row r="20" spans="1:3" x14ac:dyDescent="0.2">
      <c r="A20" s="50" t="s">
        <v>61</v>
      </c>
      <c r="B20" s="51">
        <f>B10/B6</f>
        <v>0.14285714285714285</v>
      </c>
      <c r="C20" s="52" t="s">
        <v>108</v>
      </c>
    </row>
    <row r="21" spans="1:3" x14ac:dyDescent="0.2">
      <c r="A21" s="53" t="s">
        <v>44</v>
      </c>
      <c r="B21" s="94">
        <f>1/3</f>
        <v>0.33333333333333331</v>
      </c>
      <c r="C21" s="17" t="s">
        <v>109</v>
      </c>
    </row>
    <row r="22" spans="1:3" x14ac:dyDescent="0.2">
      <c r="A22" s="53" t="s">
        <v>151</v>
      </c>
      <c r="B22" s="95">
        <f>B8^2/B10</f>
        <v>50</v>
      </c>
      <c r="C22" s="17" t="s">
        <v>156</v>
      </c>
    </row>
    <row r="23" spans="1:3" x14ac:dyDescent="0.2">
      <c r="A23" s="53" t="s">
        <v>45</v>
      </c>
      <c r="B23" s="16">
        <f>10^6*B22*B21*(1-B21)^2/(2*B11*10^3)</f>
        <v>37.037037037037045</v>
      </c>
      <c r="C23" s="18" t="s">
        <v>157</v>
      </c>
    </row>
    <row r="24" spans="1:3" x14ac:dyDescent="0.2">
      <c r="A24" s="96" t="s">
        <v>152</v>
      </c>
      <c r="B24" s="29">
        <f>B23*1.2</f>
        <v>44.44444444444445</v>
      </c>
      <c r="C24" s="36" t="s">
        <v>8</v>
      </c>
    </row>
    <row r="25" spans="1:3" ht="15" thickBot="1" x14ac:dyDescent="0.25">
      <c r="A25" s="88" t="s">
        <v>104</v>
      </c>
      <c r="B25" s="97">
        <v>47</v>
      </c>
      <c r="C25" s="19" t="s">
        <v>8</v>
      </c>
    </row>
    <row r="26" spans="1:3" ht="15" thickTop="1" x14ac:dyDescent="0.2"/>
    <row r="28" spans="1:3" ht="18" x14ac:dyDescent="0.25">
      <c r="A28" s="2" t="s">
        <v>9</v>
      </c>
    </row>
    <row r="29" spans="1:3" ht="15" thickBot="1" x14ac:dyDescent="0.25"/>
    <row r="30" spans="1:3" ht="16.5" thickTop="1" thickBot="1" x14ac:dyDescent="0.3">
      <c r="A30" s="3" t="s">
        <v>0</v>
      </c>
      <c r="B30" s="3" t="s">
        <v>1</v>
      </c>
      <c r="C30" s="3" t="s">
        <v>7</v>
      </c>
    </row>
    <row r="31" spans="1:3" ht="15" thickTop="1" x14ac:dyDescent="0.2">
      <c r="A31" s="4" t="s">
        <v>10</v>
      </c>
      <c r="B31" s="5">
        <v>0.1</v>
      </c>
      <c r="C31" s="14" t="s">
        <v>3</v>
      </c>
    </row>
    <row r="32" spans="1:3" x14ac:dyDescent="0.2">
      <c r="A32" s="98" t="s">
        <v>153</v>
      </c>
      <c r="B32" s="99">
        <f>B9/B8</f>
        <v>1</v>
      </c>
      <c r="C32" s="36" t="s">
        <v>43</v>
      </c>
    </row>
    <row r="33" spans="1:11" x14ac:dyDescent="0.2">
      <c r="A33" s="15" t="s">
        <v>11</v>
      </c>
      <c r="B33" s="16">
        <f>10^6*B32*B17/(B11*10^3*B31)</f>
        <v>50</v>
      </c>
      <c r="C33" s="17" t="s">
        <v>155</v>
      </c>
    </row>
    <row r="34" spans="1:11" x14ac:dyDescent="0.2">
      <c r="A34" s="28" t="s">
        <v>154</v>
      </c>
      <c r="B34" s="29">
        <f>B33*1.2</f>
        <v>60</v>
      </c>
      <c r="C34" s="100" t="s">
        <v>110</v>
      </c>
    </row>
    <row r="35" spans="1:11" ht="15" thickBot="1" x14ac:dyDescent="0.25">
      <c r="A35" s="10" t="s">
        <v>12</v>
      </c>
      <c r="B35" s="97">
        <v>68</v>
      </c>
      <c r="C35" s="19" t="s">
        <v>110</v>
      </c>
    </row>
    <row r="36" spans="1:11" ht="15" thickTop="1" x14ac:dyDescent="0.2"/>
    <row r="38" spans="1:11" ht="18" x14ac:dyDescent="0.25">
      <c r="A38" s="2" t="s">
        <v>13</v>
      </c>
    </row>
    <row r="39" spans="1:11" ht="15" thickBot="1" x14ac:dyDescent="0.25"/>
    <row r="40" spans="1:11" ht="16.5" thickTop="1" thickBot="1" x14ac:dyDescent="0.3">
      <c r="A40" s="3" t="s">
        <v>0</v>
      </c>
      <c r="B40" s="3" t="s">
        <v>1</v>
      </c>
      <c r="C40" s="3" t="s">
        <v>7</v>
      </c>
      <c r="D40" s="3" t="s">
        <v>1</v>
      </c>
      <c r="E40" s="3" t="s">
        <v>7</v>
      </c>
      <c r="F40" s="3" t="s">
        <v>1</v>
      </c>
      <c r="G40" s="3" t="s">
        <v>7</v>
      </c>
      <c r="H40" s="3" t="s">
        <v>1</v>
      </c>
      <c r="I40" s="3" t="s">
        <v>7</v>
      </c>
      <c r="J40" s="3" t="s">
        <v>1</v>
      </c>
      <c r="K40" s="3" t="s">
        <v>7</v>
      </c>
    </row>
    <row r="41" spans="1:11" ht="15" thickTop="1" x14ac:dyDescent="0.2">
      <c r="A41" s="4" t="s">
        <v>14</v>
      </c>
      <c r="B41" s="5">
        <v>5</v>
      </c>
      <c r="C41" s="21" t="s">
        <v>3</v>
      </c>
      <c r="D41" s="54">
        <v>5</v>
      </c>
      <c r="E41" s="21" t="s">
        <v>3</v>
      </c>
      <c r="F41" s="5">
        <v>5</v>
      </c>
      <c r="G41" s="21" t="s">
        <v>3</v>
      </c>
      <c r="H41" s="5">
        <v>5</v>
      </c>
      <c r="I41" s="21" t="s">
        <v>3</v>
      </c>
      <c r="J41" s="5">
        <v>5</v>
      </c>
      <c r="K41" s="22" t="s">
        <v>3</v>
      </c>
    </row>
    <row r="42" spans="1:11" x14ac:dyDescent="0.2">
      <c r="A42" s="45" t="s">
        <v>40</v>
      </c>
      <c r="B42" s="42">
        <v>2.5</v>
      </c>
      <c r="C42" s="43" t="s">
        <v>3</v>
      </c>
      <c r="D42" s="55">
        <v>3.5</v>
      </c>
      <c r="E42" s="43" t="s">
        <v>3</v>
      </c>
      <c r="F42" s="42">
        <v>2.5</v>
      </c>
      <c r="G42" s="43" t="s">
        <v>3</v>
      </c>
      <c r="H42" s="42">
        <v>3.5</v>
      </c>
      <c r="I42" s="43" t="s">
        <v>3</v>
      </c>
      <c r="J42" s="42">
        <v>3</v>
      </c>
      <c r="K42" s="44" t="s">
        <v>3</v>
      </c>
    </row>
    <row r="43" spans="1:11" x14ac:dyDescent="0.2">
      <c r="A43" s="7" t="s">
        <v>15</v>
      </c>
      <c r="B43" s="8">
        <f>B10</f>
        <v>0.5</v>
      </c>
      <c r="C43" s="23" t="s">
        <v>4</v>
      </c>
      <c r="D43" s="56">
        <v>0.5</v>
      </c>
      <c r="E43" s="23" t="s">
        <v>4</v>
      </c>
      <c r="F43" s="8">
        <v>5</v>
      </c>
      <c r="G43" s="23" t="s">
        <v>4</v>
      </c>
      <c r="H43" s="8">
        <v>5</v>
      </c>
      <c r="I43" s="23" t="s">
        <v>4</v>
      </c>
      <c r="J43" s="8">
        <v>2.75</v>
      </c>
      <c r="K43" s="24" t="s">
        <v>4</v>
      </c>
    </row>
    <row r="44" spans="1:11" x14ac:dyDescent="0.2">
      <c r="A44" s="7" t="s">
        <v>16</v>
      </c>
      <c r="B44" s="25">
        <f>B41^2/B43</f>
        <v>50</v>
      </c>
      <c r="C44" s="23" t="s">
        <v>111</v>
      </c>
      <c r="D44" s="25">
        <f>D41^2/D43</f>
        <v>50</v>
      </c>
      <c r="E44" s="23" t="s">
        <v>111</v>
      </c>
      <c r="F44" s="25">
        <f>F41^2/F43</f>
        <v>5</v>
      </c>
      <c r="G44" s="23" t="s">
        <v>111</v>
      </c>
      <c r="H44" s="25">
        <f>H41^2/H43</f>
        <v>5</v>
      </c>
      <c r="I44" s="23" t="s">
        <v>111</v>
      </c>
      <c r="J44" s="25">
        <f>J41^2/J43</f>
        <v>9.0909090909090917</v>
      </c>
      <c r="K44" s="23" t="s">
        <v>111</v>
      </c>
    </row>
    <row r="45" spans="1:11" x14ac:dyDescent="0.2">
      <c r="A45" s="7" t="s">
        <v>17</v>
      </c>
      <c r="B45" s="101">
        <f>1-(B42/B41)</f>
        <v>0.5</v>
      </c>
      <c r="C45" s="23" t="s">
        <v>112</v>
      </c>
      <c r="D45" s="101">
        <f>1-(D42/D41)</f>
        <v>0.30000000000000004</v>
      </c>
      <c r="E45" s="23" t="s">
        <v>112</v>
      </c>
      <c r="F45" s="101">
        <f>1-(F42/F41)</f>
        <v>0.5</v>
      </c>
      <c r="G45" s="23" t="s">
        <v>112</v>
      </c>
      <c r="H45" s="101">
        <f>1-(H42/H41)</f>
        <v>0.30000000000000004</v>
      </c>
      <c r="I45" s="23" t="s">
        <v>112</v>
      </c>
      <c r="J45" s="101">
        <f>1-(J42/J41)</f>
        <v>0.4</v>
      </c>
      <c r="K45" s="23" t="s">
        <v>112</v>
      </c>
    </row>
    <row r="46" spans="1:11" x14ac:dyDescent="0.2">
      <c r="A46" s="39" t="s">
        <v>47</v>
      </c>
      <c r="B46" s="103">
        <f>B43/B42</f>
        <v>0.2</v>
      </c>
      <c r="C46" s="103" t="s">
        <v>113</v>
      </c>
      <c r="D46" s="103">
        <f>D43/D42</f>
        <v>0.14285714285714285</v>
      </c>
      <c r="E46" s="103" t="s">
        <v>113</v>
      </c>
      <c r="F46" s="103">
        <f>F43/F42</f>
        <v>2</v>
      </c>
      <c r="G46" s="103" t="s">
        <v>113</v>
      </c>
      <c r="H46" s="103">
        <f>H43/H42</f>
        <v>1.4285714285714286</v>
      </c>
      <c r="I46" s="103" t="s">
        <v>113</v>
      </c>
      <c r="J46" s="103">
        <f>J43/J42</f>
        <v>0.91666666666666663</v>
      </c>
      <c r="K46" s="23" t="s">
        <v>113</v>
      </c>
    </row>
    <row r="47" spans="1:11" x14ac:dyDescent="0.2">
      <c r="A47" s="39" t="s">
        <v>46</v>
      </c>
      <c r="B47" s="103">
        <f>B42*B45/($B$25*10^-6*$B$11*10^3)</f>
        <v>0.26595744680851069</v>
      </c>
      <c r="C47" s="103" t="s">
        <v>114</v>
      </c>
      <c r="D47" s="103">
        <f>D42*D45/($B$25*10^-6*$B$11*10^3)</f>
        <v>0.22340425531914904</v>
      </c>
      <c r="E47" s="103" t="s">
        <v>114</v>
      </c>
      <c r="F47" s="103">
        <f>F42*F45/($B$25*10^-6*$B$11*10^3)</f>
        <v>0.26595744680851069</v>
      </c>
      <c r="G47" s="103" t="s">
        <v>114</v>
      </c>
      <c r="H47" s="103">
        <f>H42*H45/($B$25*10^-6*$B$11*10^3)</f>
        <v>0.22340425531914904</v>
      </c>
      <c r="I47" s="103" t="s">
        <v>114</v>
      </c>
      <c r="J47" s="103">
        <f>J42*J45/($B$25*10^-6*$B$11*10^3)</f>
        <v>0.2553191489361703</v>
      </c>
      <c r="K47" s="23" t="s">
        <v>114</v>
      </c>
    </row>
    <row r="48" spans="1:11" x14ac:dyDescent="0.2">
      <c r="A48" s="7" t="s">
        <v>18</v>
      </c>
      <c r="B48" s="102" t="str">
        <f>IF(B46&gt;=B47/2,"Yes","No")</f>
        <v>Yes</v>
      </c>
      <c r="C48" s="23"/>
      <c r="D48" s="26" t="str">
        <f>IF(D46&gt;=D47/2,"Yes","No")</f>
        <v>Yes</v>
      </c>
      <c r="E48" s="23"/>
      <c r="F48" s="26" t="str">
        <f>IF(F46&gt;=F47/2,"Yes","No")</f>
        <v>Yes</v>
      </c>
      <c r="G48" s="23"/>
      <c r="H48" s="26" t="str">
        <f>IF(H46&gt;=H47/2,"Yes","No")</f>
        <v>Yes</v>
      </c>
      <c r="I48" s="23"/>
      <c r="J48" s="26" t="str">
        <f>IF(J46&gt;=J47/2,"Yes","No")</f>
        <v>Yes</v>
      </c>
      <c r="K48" s="24"/>
    </row>
    <row r="49" spans="1:14" x14ac:dyDescent="0.2">
      <c r="A49" s="7" t="s">
        <v>49</v>
      </c>
      <c r="B49" s="103">
        <f>B46+(B47/2)</f>
        <v>0.33297872340425538</v>
      </c>
      <c r="C49" s="23" t="s">
        <v>115</v>
      </c>
      <c r="D49" s="103">
        <f>D46+(D47/2)</f>
        <v>0.25455927051671734</v>
      </c>
      <c r="E49" s="23" t="s">
        <v>115</v>
      </c>
      <c r="F49" s="103">
        <f>F46+(F47/2)</f>
        <v>2.1329787234042552</v>
      </c>
      <c r="G49" s="23" t="s">
        <v>115</v>
      </c>
      <c r="H49" s="103">
        <f>H46+(H47/2)</f>
        <v>1.540273556231003</v>
      </c>
      <c r="I49" s="23" t="s">
        <v>115</v>
      </c>
      <c r="J49" s="103">
        <f>J46+(J47/2)</f>
        <v>1.0443262411347518</v>
      </c>
      <c r="K49" s="23" t="s">
        <v>115</v>
      </c>
    </row>
    <row r="50" spans="1:14" x14ac:dyDescent="0.2">
      <c r="A50" s="7" t="s">
        <v>158</v>
      </c>
      <c r="B50" s="103">
        <f>B46-(B47/2)</f>
        <v>6.7021276595744667E-2</v>
      </c>
      <c r="C50" s="23" t="s">
        <v>43</v>
      </c>
      <c r="D50" s="103">
        <f>D46-(D47/2)</f>
        <v>3.1155015197568331E-2</v>
      </c>
      <c r="E50" s="23" t="s">
        <v>43</v>
      </c>
      <c r="F50" s="103">
        <f>F46-(F47/2)</f>
        <v>1.8670212765957446</v>
      </c>
      <c r="G50" s="23" t="s">
        <v>43</v>
      </c>
      <c r="H50" s="103">
        <f>H46-(H47/2)</f>
        <v>1.3168693009118542</v>
      </c>
      <c r="I50" s="23" t="s">
        <v>43</v>
      </c>
      <c r="J50" s="103">
        <f>J46-(J47/2)</f>
        <v>0.78900709219858145</v>
      </c>
      <c r="K50" s="23" t="s">
        <v>43</v>
      </c>
    </row>
    <row r="51" spans="1:14" x14ac:dyDescent="0.2">
      <c r="A51" s="7" t="s">
        <v>48</v>
      </c>
      <c r="B51" s="103">
        <f>SQRT(B46^2 + (B47^2/12))</f>
        <v>0.21422989277738178</v>
      </c>
      <c r="C51" s="23" t="s">
        <v>116</v>
      </c>
      <c r="D51" s="103">
        <f>SQRT(D46^2 + (D47^2/12))</f>
        <v>0.15673954523305453</v>
      </c>
      <c r="E51" s="23" t="s">
        <v>116</v>
      </c>
      <c r="F51" s="103">
        <f>SQRT(F46^2 + (F47^2/12))</f>
        <v>2.0014730692565936</v>
      </c>
      <c r="G51" s="23" t="s">
        <v>116</v>
      </c>
      <c r="H51" s="103">
        <f>SQRT(H46^2 + (H47^2/12))</f>
        <v>1.4300263802829551</v>
      </c>
      <c r="I51" s="23" t="s">
        <v>116</v>
      </c>
      <c r="J51" s="103">
        <f>SQRT(J46^2 + (J47^2/12))</f>
        <v>0.91962497796415288</v>
      </c>
      <c r="K51" s="23" t="s">
        <v>116</v>
      </c>
    </row>
    <row r="52" spans="1:14" x14ac:dyDescent="0.2">
      <c r="A52" s="28" t="s">
        <v>50</v>
      </c>
      <c r="B52" s="104">
        <f>B41/B44</f>
        <v>0.1</v>
      </c>
      <c r="C52" s="23" t="s">
        <v>117</v>
      </c>
      <c r="D52" s="104">
        <f>D41/D44</f>
        <v>0.1</v>
      </c>
      <c r="E52" s="23" t="s">
        <v>117</v>
      </c>
      <c r="F52" s="104">
        <f>F41/F44</f>
        <v>1</v>
      </c>
      <c r="G52" s="23" t="s">
        <v>117</v>
      </c>
      <c r="H52" s="104">
        <f>H41/H44</f>
        <v>1</v>
      </c>
      <c r="I52" s="23" t="s">
        <v>117</v>
      </c>
      <c r="J52" s="104">
        <f>J41/J44</f>
        <v>0.54999999999999993</v>
      </c>
      <c r="K52" s="23" t="s">
        <v>117</v>
      </c>
    </row>
    <row r="53" spans="1:14" x14ac:dyDescent="0.2">
      <c r="A53" s="28" t="s">
        <v>52</v>
      </c>
      <c r="B53" s="104">
        <f>B51*SQRT(B45)</f>
        <v>0.15148340991575365</v>
      </c>
      <c r="C53" s="23" t="s">
        <v>118</v>
      </c>
      <c r="D53" s="104">
        <f>D51*SQRT(D45)</f>
        <v>8.5849784577245306E-2</v>
      </c>
      <c r="E53" s="23" t="s">
        <v>118</v>
      </c>
      <c r="F53" s="104">
        <f>F51*SQRT(F45)</f>
        <v>1.4152551796335899</v>
      </c>
      <c r="G53" s="23" t="s">
        <v>118</v>
      </c>
      <c r="H53" s="104">
        <f>H51*SQRT(H45)</f>
        <v>0.7832577063084355</v>
      </c>
      <c r="I53" s="23" t="s">
        <v>118</v>
      </c>
      <c r="J53" s="104">
        <f>J51*SQRT(J45)</f>
        <v>0.58162190470977582</v>
      </c>
      <c r="K53" s="23" t="s">
        <v>118</v>
      </c>
    </row>
    <row r="54" spans="1:14" x14ac:dyDescent="0.2">
      <c r="A54" s="28" t="s">
        <v>51</v>
      </c>
      <c r="B54" s="104">
        <f>SQRT(B46^2*B45*(1-B45) + (B47^2/12)*(1-B45))</f>
        <v>0.11378586678363989</v>
      </c>
      <c r="C54" s="23" t="s">
        <v>119</v>
      </c>
      <c r="D54" s="104">
        <f t="shared" ref="D54:J54" si="0">SQRT(D46^2*D45*(1-D45) + (D47^2/12)*(1-D45))</f>
        <v>8.4835720825047062E-2</v>
      </c>
      <c r="E54" s="23" t="s">
        <v>119</v>
      </c>
      <c r="F54" s="104">
        <f t="shared" si="0"/>
        <v>1.0014725275711283</v>
      </c>
      <c r="G54" s="23" t="s">
        <v>119</v>
      </c>
      <c r="H54" s="104">
        <f t="shared" si="0"/>
        <v>0.65687351431886776</v>
      </c>
      <c r="I54" s="23" t="s">
        <v>119</v>
      </c>
      <c r="J54" s="104">
        <f t="shared" si="0"/>
        <v>0.45268759653578</v>
      </c>
      <c r="K54" s="23" t="s">
        <v>119</v>
      </c>
    </row>
    <row r="55" spans="1:14" x14ac:dyDescent="0.2">
      <c r="A55" s="7" t="s">
        <v>53</v>
      </c>
      <c r="B55" s="29">
        <v>5</v>
      </c>
      <c r="C55" s="23" t="s">
        <v>120</v>
      </c>
      <c r="D55" s="29">
        <v>5</v>
      </c>
      <c r="E55" s="23" t="s">
        <v>120</v>
      </c>
      <c r="F55" s="29">
        <v>5</v>
      </c>
      <c r="G55" s="23" t="s">
        <v>120</v>
      </c>
      <c r="H55" s="29">
        <v>5</v>
      </c>
      <c r="I55" s="23" t="s">
        <v>120</v>
      </c>
      <c r="J55" s="29">
        <v>5</v>
      </c>
      <c r="K55" s="23" t="s">
        <v>120</v>
      </c>
    </row>
    <row r="56" spans="1:14" x14ac:dyDescent="0.2">
      <c r="A56" s="28" t="s">
        <v>54</v>
      </c>
      <c r="B56" s="107">
        <v>5</v>
      </c>
      <c r="C56" s="23" t="s">
        <v>121</v>
      </c>
      <c r="D56" s="107">
        <v>5</v>
      </c>
      <c r="E56" s="23" t="s">
        <v>121</v>
      </c>
      <c r="F56" s="107">
        <v>5</v>
      </c>
      <c r="G56" s="23" t="s">
        <v>121</v>
      </c>
      <c r="H56" s="107">
        <v>5</v>
      </c>
      <c r="I56" s="23" t="s">
        <v>121</v>
      </c>
      <c r="J56" s="107">
        <v>5</v>
      </c>
      <c r="K56" s="23" t="s">
        <v>121</v>
      </c>
      <c r="L56" s="106" t="s">
        <v>159</v>
      </c>
      <c r="M56" t="s">
        <v>160</v>
      </c>
      <c r="N56" t="s">
        <v>161</v>
      </c>
    </row>
    <row r="57" spans="1:14" ht="15" thickBot="1" x14ac:dyDescent="0.25">
      <c r="A57" s="10" t="s">
        <v>55</v>
      </c>
      <c r="B57" s="105">
        <f>10^3*B52*B45/($B$35*10^-6*$B$11*10^3)</f>
        <v>7.3529411764705888</v>
      </c>
      <c r="C57" s="31" t="s">
        <v>122</v>
      </c>
      <c r="D57" s="105">
        <f>10^3*D52*D45/($B$35*10^-6*$B$11*10^3)</f>
        <v>4.4117647058823533</v>
      </c>
      <c r="E57" s="31" t="s">
        <v>122</v>
      </c>
      <c r="F57" s="105">
        <f>10^3*F52*F45/($B$35*10^-6*$B$11*10^3)</f>
        <v>73.529411764705884</v>
      </c>
      <c r="G57" s="31" t="s">
        <v>122</v>
      </c>
      <c r="H57" s="105">
        <f>10^3*H52*H45/($B$35*10^-6*$B$11*10^3)</f>
        <v>44.117647058823536</v>
      </c>
      <c r="I57" s="31" t="s">
        <v>122</v>
      </c>
      <c r="J57" s="105">
        <f>10^3*J52*J45/($B$35*10^-6*$B$11*10^3)</f>
        <v>32.352941176470587</v>
      </c>
      <c r="K57" s="31" t="s">
        <v>122</v>
      </c>
    </row>
    <row r="58" spans="1:14" ht="15" thickTop="1" x14ac:dyDescent="0.2">
      <c r="B58" s="33"/>
      <c r="C58" s="34"/>
    </row>
    <row r="59" spans="1:14" x14ac:dyDescent="0.2">
      <c r="B59" s="33"/>
      <c r="C59" s="34"/>
    </row>
    <row r="60" spans="1:14" ht="18" x14ac:dyDescent="0.25">
      <c r="A60" s="2" t="s">
        <v>19</v>
      </c>
    </row>
    <row r="61" spans="1:14" ht="15" thickBot="1" x14ac:dyDescent="0.25"/>
    <row r="62" spans="1:14" ht="16.5" thickTop="1" thickBot="1" x14ac:dyDescent="0.3">
      <c r="A62" s="3" t="s">
        <v>0</v>
      </c>
      <c r="B62" s="3" t="s">
        <v>1</v>
      </c>
      <c r="C62" s="3" t="s">
        <v>7</v>
      </c>
      <c r="D62" s="3" t="s">
        <v>1</v>
      </c>
      <c r="E62" s="3" t="s">
        <v>7</v>
      </c>
      <c r="F62" s="3"/>
      <c r="G62" s="3"/>
      <c r="H62" s="3" t="s">
        <v>1</v>
      </c>
      <c r="I62" s="3" t="s">
        <v>7</v>
      </c>
      <c r="J62" s="3" t="s">
        <v>1</v>
      </c>
      <c r="K62" s="3" t="s">
        <v>7</v>
      </c>
    </row>
    <row r="63" spans="1:14" ht="15" thickTop="1" x14ac:dyDescent="0.2">
      <c r="A63" s="7" t="s">
        <v>16</v>
      </c>
      <c r="B63" s="8">
        <f>B44</f>
        <v>50</v>
      </c>
      <c r="C63" s="23" t="s">
        <v>20</v>
      </c>
      <c r="D63" s="8">
        <f>D44</f>
        <v>50</v>
      </c>
      <c r="E63" s="23" t="s">
        <v>20</v>
      </c>
      <c r="F63" s="8">
        <f>F44</f>
        <v>5</v>
      </c>
      <c r="G63" s="23" t="s">
        <v>20</v>
      </c>
      <c r="H63" s="8">
        <f>H44</f>
        <v>5</v>
      </c>
      <c r="I63" s="23" t="s">
        <v>20</v>
      </c>
      <c r="J63" s="8">
        <f>J44</f>
        <v>9.0909090909090917</v>
      </c>
      <c r="K63" s="24" t="s">
        <v>20</v>
      </c>
    </row>
    <row r="64" spans="1:14" x14ac:dyDescent="0.2">
      <c r="A64" s="7" t="s">
        <v>17</v>
      </c>
      <c r="B64" s="8">
        <f>B45</f>
        <v>0.5</v>
      </c>
      <c r="C64" s="23"/>
      <c r="D64" s="8">
        <f>D45</f>
        <v>0.30000000000000004</v>
      </c>
      <c r="E64" s="23"/>
      <c r="F64" s="8">
        <f>F45</f>
        <v>0.5</v>
      </c>
      <c r="G64" s="23"/>
      <c r="H64" s="8">
        <f>H45</f>
        <v>0.30000000000000004</v>
      </c>
      <c r="I64" s="23"/>
      <c r="J64" s="8">
        <f>J45</f>
        <v>0.4</v>
      </c>
      <c r="K64" s="24"/>
    </row>
    <row r="65" spans="1:12" x14ac:dyDescent="0.2">
      <c r="A65" s="39" t="s">
        <v>163</v>
      </c>
      <c r="B65" s="103">
        <v>4.9983700000000004</v>
      </c>
      <c r="C65" s="23" t="s">
        <v>3</v>
      </c>
      <c r="D65" s="103">
        <v>4.9908000000000001</v>
      </c>
      <c r="E65" s="23" t="s">
        <v>3</v>
      </c>
      <c r="F65" s="108">
        <v>4.9982800000000003</v>
      </c>
      <c r="G65" s="23" t="s">
        <v>3</v>
      </c>
      <c r="H65" s="103">
        <v>4.9980099999999998</v>
      </c>
      <c r="I65" s="23" t="s">
        <v>3</v>
      </c>
      <c r="J65" s="103">
        <v>4.9981</v>
      </c>
      <c r="K65" s="24" t="s">
        <v>3</v>
      </c>
    </row>
    <row r="66" spans="1:12" x14ac:dyDescent="0.2">
      <c r="A66" s="39" t="s">
        <v>164</v>
      </c>
      <c r="B66" s="103">
        <v>0.49967400000000001</v>
      </c>
      <c r="C66" s="23" t="s">
        <v>4</v>
      </c>
      <c r="D66" s="103">
        <v>0.49961699999999998</v>
      </c>
      <c r="E66" s="23" t="s">
        <v>4</v>
      </c>
      <c r="F66" s="103">
        <v>4.9968300000000001</v>
      </c>
      <c r="G66" s="23" t="s">
        <v>4</v>
      </c>
      <c r="H66" s="103">
        <v>4.9961099999999998</v>
      </c>
      <c r="I66" s="23" t="s">
        <v>4</v>
      </c>
      <c r="J66" s="103">
        <v>2.7482099999999998</v>
      </c>
      <c r="K66" s="24" t="s">
        <v>4</v>
      </c>
    </row>
    <row r="67" spans="1:12" x14ac:dyDescent="0.2">
      <c r="A67" s="7" t="s">
        <v>18</v>
      </c>
      <c r="B67" s="27" t="s">
        <v>162</v>
      </c>
      <c r="C67" s="23"/>
      <c r="D67" s="108" t="s">
        <v>162</v>
      </c>
      <c r="E67" s="23"/>
      <c r="F67" s="108" t="s">
        <v>162</v>
      </c>
      <c r="G67" s="23"/>
      <c r="H67" s="108" t="s">
        <v>162</v>
      </c>
      <c r="I67" s="23"/>
      <c r="J67" s="108" t="s">
        <v>162</v>
      </c>
      <c r="K67" s="24"/>
    </row>
    <row r="68" spans="1:12" x14ac:dyDescent="0.2">
      <c r="A68" s="39" t="s">
        <v>46</v>
      </c>
      <c r="B68" s="108">
        <f>0.332881-0.0669235</f>
        <v>0.26595749999999996</v>
      </c>
      <c r="C68" s="23" t="s">
        <v>21</v>
      </c>
      <c r="D68" s="108">
        <f>0.254488-0.0310839</f>
        <v>0.22340409999999999</v>
      </c>
      <c r="E68" s="23" t="s">
        <v>21</v>
      </c>
      <c r="F68" s="103">
        <f>2.13197-1.86601</f>
        <v>0.26595999999999997</v>
      </c>
      <c r="G68" s="23" t="s">
        <v>21</v>
      </c>
      <c r="H68" s="108">
        <f>1.53955-1.31615</f>
        <v>0.22340000000000004</v>
      </c>
      <c r="I68" s="23" t="s">
        <v>21</v>
      </c>
      <c r="J68" s="108">
        <f>1.04393-0.788614</f>
        <v>0.25531599999999999</v>
      </c>
      <c r="K68" s="23" t="s">
        <v>21</v>
      </c>
    </row>
    <row r="69" spans="1:12" x14ac:dyDescent="0.2">
      <c r="A69" s="7" t="s">
        <v>49</v>
      </c>
      <c r="B69" s="103">
        <v>0.33288099999999998</v>
      </c>
      <c r="C69" s="23" t="s">
        <v>21</v>
      </c>
      <c r="D69" s="103">
        <v>0.25448799999999999</v>
      </c>
      <c r="E69" s="23" t="s">
        <v>21</v>
      </c>
      <c r="F69" s="103">
        <v>2.1319699999999999</v>
      </c>
      <c r="G69" s="23" t="s">
        <v>21</v>
      </c>
      <c r="H69" s="103">
        <v>1.53955</v>
      </c>
      <c r="I69" s="23" t="s">
        <v>21</v>
      </c>
      <c r="J69" s="103">
        <v>1.04393</v>
      </c>
      <c r="K69" s="23" t="s">
        <v>21</v>
      </c>
    </row>
    <row r="70" spans="1:12" x14ac:dyDescent="0.2">
      <c r="A70" s="7" t="s">
        <v>48</v>
      </c>
      <c r="B70" s="103">
        <v>0.214139</v>
      </c>
      <c r="C70" s="23" t="s">
        <v>21</v>
      </c>
      <c r="D70" s="103">
        <v>0.15667500000000001</v>
      </c>
      <c r="E70" s="23" t="s">
        <v>21</v>
      </c>
      <c r="F70" s="103">
        <v>2.0004599999999999</v>
      </c>
      <c r="G70" s="23" t="s">
        <v>21</v>
      </c>
      <c r="H70" s="103">
        <f>1.42931</f>
        <v>1.4293100000000001</v>
      </c>
      <c r="I70" s="23" t="s">
        <v>21</v>
      </c>
      <c r="J70" s="103">
        <v>0.91923299999999997</v>
      </c>
      <c r="K70" s="23" t="s">
        <v>21</v>
      </c>
    </row>
    <row r="71" spans="1:12" x14ac:dyDescent="0.2">
      <c r="A71" s="28" t="s">
        <v>50</v>
      </c>
      <c r="B71" s="109">
        <v>9.9967399999999998E-2</v>
      </c>
      <c r="C71" s="23" t="s">
        <v>21</v>
      </c>
      <c r="D71" s="104">
        <v>9.9942699999999995E-2</v>
      </c>
      <c r="E71" s="23" t="s">
        <v>21</v>
      </c>
      <c r="F71" s="103">
        <v>0.99965599999999999</v>
      </c>
      <c r="G71" s="23" t="s">
        <v>21</v>
      </c>
      <c r="H71" s="104">
        <v>0.99960099999999996</v>
      </c>
      <c r="I71" s="23" t="s">
        <v>21</v>
      </c>
      <c r="J71" s="104">
        <v>0.54984599999999995</v>
      </c>
      <c r="K71" s="23" t="s">
        <v>21</v>
      </c>
    </row>
    <row r="72" spans="1:12" x14ac:dyDescent="0.2">
      <c r="A72" s="28" t="s">
        <v>52</v>
      </c>
      <c r="B72" s="104">
        <v>0.151419</v>
      </c>
      <c r="C72" s="23" t="s">
        <v>21</v>
      </c>
      <c r="D72" s="104">
        <v>8.5814299999999996E-2</v>
      </c>
      <c r="E72" s="23" t="s">
        <v>21</v>
      </c>
      <c r="F72" s="109">
        <v>1.4145399999999999</v>
      </c>
      <c r="G72" s="23" t="s">
        <v>21</v>
      </c>
      <c r="H72" s="104">
        <v>0.78286299999999998</v>
      </c>
      <c r="I72" s="23" t="s">
        <v>21</v>
      </c>
      <c r="J72" s="104">
        <v>0.58137399999999995</v>
      </c>
      <c r="K72" s="23" t="s">
        <v>21</v>
      </c>
    </row>
    <row r="73" spans="1:12" x14ac:dyDescent="0.2">
      <c r="A73" s="28" t="s">
        <v>51</v>
      </c>
      <c r="B73" s="104">
        <v>0.113757</v>
      </c>
      <c r="C73" s="23" t="s">
        <v>21</v>
      </c>
      <c r="D73" s="104">
        <v>8.4824099999999999E-2</v>
      </c>
      <c r="E73" s="23" t="s">
        <v>21</v>
      </c>
      <c r="F73" s="104">
        <v>1.0011399999999999</v>
      </c>
      <c r="G73" s="23" t="s">
        <v>21</v>
      </c>
      <c r="H73" s="104">
        <v>0.65672399999999997</v>
      </c>
      <c r="I73" s="23" t="s">
        <v>21</v>
      </c>
      <c r="J73" s="104">
        <v>0.452598</v>
      </c>
      <c r="K73" s="23" t="s">
        <v>21</v>
      </c>
      <c r="L73" s="110"/>
    </row>
    <row r="74" spans="1:12" x14ac:dyDescent="0.2">
      <c r="A74" s="7" t="s">
        <v>53</v>
      </c>
      <c r="B74" s="104">
        <v>5.00204</v>
      </c>
      <c r="C74" s="23" t="s">
        <v>3</v>
      </c>
      <c r="D74" s="104">
        <v>5.0002899999999997</v>
      </c>
      <c r="E74" s="23" t="s">
        <v>3</v>
      </c>
      <c r="F74" s="104">
        <v>5.0350299999999999</v>
      </c>
      <c r="G74" s="23" t="s">
        <v>3</v>
      </c>
      <c r="H74" s="104">
        <v>5.02006</v>
      </c>
      <c r="I74" s="23" t="s">
        <v>3</v>
      </c>
      <c r="J74" s="104">
        <v>5.0142699999999998</v>
      </c>
      <c r="K74" s="23" t="s">
        <v>3</v>
      </c>
    </row>
    <row r="75" spans="1:12" x14ac:dyDescent="0.2">
      <c r="A75" s="28" t="s">
        <v>54</v>
      </c>
      <c r="B75" s="104">
        <v>5.00204</v>
      </c>
      <c r="C75" s="30" t="s">
        <v>3</v>
      </c>
      <c r="D75" s="104">
        <v>5.0002899999999997</v>
      </c>
      <c r="E75" s="30" t="s">
        <v>3</v>
      </c>
      <c r="F75" s="104">
        <v>5.0350299999999999</v>
      </c>
      <c r="G75" s="30" t="s">
        <v>3</v>
      </c>
      <c r="H75" s="104">
        <v>5.02006</v>
      </c>
      <c r="I75" s="30" t="s">
        <v>3</v>
      </c>
      <c r="J75" s="104">
        <v>5.0142699999999998</v>
      </c>
      <c r="K75" s="30" t="s">
        <v>3</v>
      </c>
    </row>
    <row r="76" spans="1:12" ht="15" thickBot="1" x14ac:dyDescent="0.25">
      <c r="A76" s="10" t="s">
        <v>55</v>
      </c>
      <c r="B76" s="105">
        <f>(5.00204-4.99469)*10^3</f>
        <v>7.3499999999997456</v>
      </c>
      <c r="C76" s="31" t="s">
        <v>165</v>
      </c>
      <c r="D76" s="105">
        <f>(5.00029 - 4.99588)*10^3</f>
        <v>4.410000000000025</v>
      </c>
      <c r="E76" s="31" t="s">
        <v>165</v>
      </c>
      <c r="F76" s="105">
        <f>(5.03503-4.96153)*10^3</f>
        <v>73.500000000000114</v>
      </c>
      <c r="G76" s="31" t="s">
        <v>165</v>
      </c>
      <c r="H76" s="105">
        <f>(5.02006-4.97596)*10^3</f>
        <v>44.10000000000025</v>
      </c>
      <c r="I76" s="31" t="s">
        <v>165</v>
      </c>
      <c r="J76" s="105">
        <f>(5.01427-4.98192)*10^3</f>
        <v>32.350000000000101</v>
      </c>
      <c r="K76" s="31" t="s">
        <v>165</v>
      </c>
    </row>
    <row r="77" spans="1:12" ht="15" thickTop="1" x14ac:dyDescent="0.2"/>
    <row r="79" spans="1:12" ht="18" x14ac:dyDescent="0.25">
      <c r="A79" s="2" t="s">
        <v>22</v>
      </c>
    </row>
    <row r="80" spans="1:12" ht="15" thickBot="1" x14ac:dyDescent="0.25"/>
    <row r="81" spans="1:3" ht="16.5" thickTop="1" thickBot="1" x14ac:dyDescent="0.3">
      <c r="A81" s="3" t="s">
        <v>0</v>
      </c>
      <c r="B81" s="3" t="s">
        <v>1</v>
      </c>
      <c r="C81" s="3" t="s">
        <v>7</v>
      </c>
    </row>
    <row r="82" spans="1:3" ht="15" thickTop="1" x14ac:dyDescent="0.2">
      <c r="A82" s="4" t="s">
        <v>125</v>
      </c>
      <c r="B82" s="5">
        <v>1</v>
      </c>
      <c r="C82" s="14" t="s">
        <v>3</v>
      </c>
    </row>
    <row r="83" spans="1:3" x14ac:dyDescent="0.2">
      <c r="A83" s="15" t="s">
        <v>126</v>
      </c>
      <c r="B83" s="35">
        <v>4</v>
      </c>
      <c r="C83" s="17" t="s">
        <v>3</v>
      </c>
    </row>
    <row r="84" spans="1:3" x14ac:dyDescent="0.2">
      <c r="A84" s="15" t="s">
        <v>23</v>
      </c>
      <c r="B84" s="35">
        <v>2.5</v>
      </c>
      <c r="C84" s="36" t="s">
        <v>3</v>
      </c>
    </row>
    <row r="85" spans="1:3" ht="15" x14ac:dyDescent="0.2">
      <c r="A85" s="53" t="s">
        <v>131</v>
      </c>
      <c r="B85" s="37">
        <v>22</v>
      </c>
      <c r="C85" s="18" t="s">
        <v>24</v>
      </c>
    </row>
    <row r="86" spans="1:3" x14ac:dyDescent="0.2">
      <c r="A86" s="53" t="s">
        <v>130</v>
      </c>
      <c r="B86" s="35">
        <v>1</v>
      </c>
      <c r="C86" s="18" t="s">
        <v>25</v>
      </c>
    </row>
    <row r="87" spans="1:3" x14ac:dyDescent="0.2">
      <c r="A87" s="53" t="s">
        <v>129</v>
      </c>
      <c r="B87" s="16">
        <v>18</v>
      </c>
      <c r="C87" s="18" t="s">
        <v>26</v>
      </c>
    </row>
    <row r="88" spans="1:3" x14ac:dyDescent="0.2">
      <c r="A88" s="53" t="s">
        <v>128</v>
      </c>
      <c r="B88" s="16">
        <v>0.22</v>
      </c>
      <c r="C88" s="18" t="s">
        <v>135</v>
      </c>
    </row>
    <row r="89" spans="1:3" x14ac:dyDescent="0.2">
      <c r="A89" s="53" t="s">
        <v>132</v>
      </c>
      <c r="B89" s="16">
        <v>10</v>
      </c>
      <c r="C89" s="18" t="s">
        <v>136</v>
      </c>
    </row>
    <row r="90" spans="1:3" x14ac:dyDescent="0.2">
      <c r="A90" s="53" t="s">
        <v>133</v>
      </c>
      <c r="B90" s="16">
        <v>68</v>
      </c>
      <c r="C90" s="18" t="s">
        <v>137</v>
      </c>
    </row>
    <row r="91" spans="1:3" x14ac:dyDescent="0.2">
      <c r="A91" s="53" t="s">
        <v>134</v>
      </c>
      <c r="B91" s="16">
        <v>220</v>
      </c>
      <c r="C91" s="18" t="s">
        <v>138</v>
      </c>
    </row>
    <row r="92" spans="1:3" x14ac:dyDescent="0.2">
      <c r="A92" s="53" t="s">
        <v>27</v>
      </c>
      <c r="B92" s="16">
        <v>22</v>
      </c>
      <c r="C92" s="18" t="s">
        <v>139</v>
      </c>
    </row>
    <row r="93" spans="1:3" x14ac:dyDescent="0.2">
      <c r="A93" s="53" t="s">
        <v>28</v>
      </c>
      <c r="B93" s="16">
        <v>12</v>
      </c>
      <c r="C93" s="18" t="s">
        <v>140</v>
      </c>
    </row>
    <row r="94" spans="1:3" x14ac:dyDescent="0.2">
      <c r="A94" s="53" t="s">
        <v>127</v>
      </c>
      <c r="B94" s="16">
        <v>2200</v>
      </c>
      <c r="C94" s="18" t="s">
        <v>141</v>
      </c>
    </row>
    <row r="95" spans="1:3" x14ac:dyDescent="0.2">
      <c r="A95" s="15" t="s">
        <v>123</v>
      </c>
      <c r="B95" s="35">
        <v>4.7</v>
      </c>
      <c r="C95" s="18" t="s">
        <v>29</v>
      </c>
    </row>
    <row r="96" spans="1:3" x14ac:dyDescent="0.2">
      <c r="A96" s="15" t="s">
        <v>124</v>
      </c>
      <c r="B96" s="35">
        <v>10</v>
      </c>
      <c r="C96" s="18" t="s">
        <v>29</v>
      </c>
    </row>
    <row r="97" spans="1:11" x14ac:dyDescent="0.2">
      <c r="A97" s="15" t="s">
        <v>30</v>
      </c>
      <c r="B97" s="111">
        <v>0.1</v>
      </c>
      <c r="C97" s="18"/>
    </row>
    <row r="98" spans="1:11" ht="15" thickBot="1" x14ac:dyDescent="0.25">
      <c r="A98" s="10" t="s">
        <v>31</v>
      </c>
      <c r="B98" s="20" t="s">
        <v>166</v>
      </c>
      <c r="C98" s="19"/>
    </row>
    <row r="99" spans="1:11" ht="15" thickTop="1" x14ac:dyDescent="0.2"/>
    <row r="101" spans="1:11" ht="18" x14ac:dyDescent="0.25">
      <c r="A101" s="2" t="s">
        <v>32</v>
      </c>
    </row>
    <row r="102" spans="1:11" ht="15" thickBot="1" x14ac:dyDescent="0.25"/>
    <row r="103" spans="1:11" ht="16.5" thickTop="1" thickBot="1" x14ac:dyDescent="0.3">
      <c r="A103" s="3" t="s">
        <v>0</v>
      </c>
      <c r="B103" s="3" t="s">
        <v>1</v>
      </c>
      <c r="C103" s="3" t="s">
        <v>7</v>
      </c>
      <c r="D103" s="3" t="s">
        <v>1</v>
      </c>
      <c r="E103" s="3" t="s">
        <v>7</v>
      </c>
      <c r="F103" s="3"/>
      <c r="G103" s="3"/>
      <c r="H103" s="3" t="s">
        <v>1</v>
      </c>
      <c r="I103" s="3" t="s">
        <v>7</v>
      </c>
      <c r="J103" s="3" t="s">
        <v>1</v>
      </c>
      <c r="K103" s="3" t="s">
        <v>7</v>
      </c>
    </row>
    <row r="104" spans="1:11" ht="15" thickTop="1" x14ac:dyDescent="0.2">
      <c r="A104" s="7" t="s">
        <v>16</v>
      </c>
      <c r="B104" s="8">
        <f>B44</f>
        <v>50</v>
      </c>
      <c r="C104" s="23" t="s">
        <v>20</v>
      </c>
      <c r="D104" s="8">
        <f>D44</f>
        <v>50</v>
      </c>
      <c r="E104" s="23" t="s">
        <v>20</v>
      </c>
      <c r="F104" s="8">
        <f>F44</f>
        <v>5</v>
      </c>
      <c r="G104" s="23" t="s">
        <v>20</v>
      </c>
      <c r="H104" s="8">
        <f>H44</f>
        <v>5</v>
      </c>
      <c r="I104" s="23" t="s">
        <v>20</v>
      </c>
      <c r="J104" s="8">
        <f>J44</f>
        <v>9.0909090909090917</v>
      </c>
      <c r="K104" s="24" t="s">
        <v>20</v>
      </c>
    </row>
    <row r="105" spans="1:11" x14ac:dyDescent="0.2">
      <c r="A105" s="7" t="s">
        <v>33</v>
      </c>
      <c r="B105" s="8">
        <v>2.5</v>
      </c>
      <c r="C105" s="23" t="s">
        <v>3</v>
      </c>
      <c r="D105" s="8">
        <v>3.5</v>
      </c>
      <c r="E105" s="23" t="s">
        <v>3</v>
      </c>
      <c r="F105" s="8">
        <v>2.5</v>
      </c>
      <c r="G105" s="23" t="s">
        <v>3</v>
      </c>
      <c r="H105" s="8">
        <v>3.5</v>
      </c>
      <c r="I105" s="23" t="s">
        <v>3</v>
      </c>
      <c r="J105" s="8">
        <v>3</v>
      </c>
      <c r="K105" s="24" t="s">
        <v>3</v>
      </c>
    </row>
    <row r="106" spans="1:11" x14ac:dyDescent="0.2">
      <c r="A106" s="7" t="s">
        <v>34</v>
      </c>
      <c r="B106" s="25"/>
      <c r="C106" s="23" t="s">
        <v>3</v>
      </c>
      <c r="D106" s="25"/>
      <c r="E106" s="23" t="s">
        <v>3</v>
      </c>
      <c r="F106" s="23"/>
      <c r="G106" s="23" t="s">
        <v>3</v>
      </c>
      <c r="H106" s="25"/>
      <c r="I106" s="23" t="s">
        <v>3</v>
      </c>
      <c r="J106" s="25"/>
      <c r="K106" s="24" t="s">
        <v>3</v>
      </c>
    </row>
    <row r="107" spans="1:11" ht="15" thickBot="1" x14ac:dyDescent="0.25">
      <c r="A107" s="10" t="s">
        <v>35</v>
      </c>
      <c r="B107" s="20"/>
      <c r="C107" s="31" t="s">
        <v>36</v>
      </c>
      <c r="D107" s="20"/>
      <c r="E107" s="31" t="s">
        <v>36</v>
      </c>
      <c r="F107" s="31"/>
      <c r="G107" s="31" t="s">
        <v>36</v>
      </c>
      <c r="H107" s="20"/>
      <c r="I107" s="31" t="s">
        <v>36</v>
      </c>
      <c r="J107" s="20"/>
      <c r="K107" s="32" t="s">
        <v>36</v>
      </c>
    </row>
    <row r="108" spans="1:11" ht="15" thickTop="1" x14ac:dyDescent="0.2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2"/>
  <sheetViews>
    <sheetView topLeftCell="A9" workbookViewId="0">
      <selection activeCell="L55" sqref="L55"/>
    </sheetView>
  </sheetViews>
  <sheetFormatPr defaultColWidth="12" defaultRowHeight="14.25" x14ac:dyDescent="0.2"/>
  <cols>
    <col min="1" max="1" width="24.375" customWidth="1"/>
    <col min="2" max="9" width="12.875" customWidth="1"/>
  </cols>
  <sheetData>
    <row r="1" spans="1:3" ht="20.25" x14ac:dyDescent="0.3">
      <c r="A1" s="1" t="s">
        <v>92</v>
      </c>
    </row>
    <row r="3" spans="1:3" ht="18" x14ac:dyDescent="0.25">
      <c r="A3" s="2" t="s">
        <v>62</v>
      </c>
    </row>
    <row r="4" spans="1:3" ht="15" thickBot="1" x14ac:dyDescent="0.25"/>
    <row r="5" spans="1:3" ht="16.5" thickTop="1" thickBot="1" x14ac:dyDescent="0.3">
      <c r="A5" s="3" t="s">
        <v>0</v>
      </c>
      <c r="B5" s="3" t="s">
        <v>1</v>
      </c>
      <c r="C5" s="3" t="s">
        <v>2</v>
      </c>
    </row>
    <row r="6" spans="1:3" ht="15" thickTop="1" x14ac:dyDescent="0.2">
      <c r="A6" s="38" t="s">
        <v>104</v>
      </c>
      <c r="B6" s="5">
        <f>SS_Analysis!B25</f>
        <v>47</v>
      </c>
      <c r="C6" s="18" t="s">
        <v>8</v>
      </c>
    </row>
    <row r="7" spans="1:3" x14ac:dyDescent="0.2">
      <c r="A7" s="39" t="s">
        <v>94</v>
      </c>
      <c r="B7" s="8">
        <f>SS_Analysis!H46</f>
        <v>1.4285714285714286</v>
      </c>
      <c r="C7" s="9" t="s">
        <v>43</v>
      </c>
    </row>
    <row r="8" spans="1:3" x14ac:dyDescent="0.2">
      <c r="A8" s="39" t="s">
        <v>95</v>
      </c>
      <c r="B8" s="8">
        <f>SS_Analysis!H49</f>
        <v>1.540273556231003</v>
      </c>
      <c r="C8" s="9" t="s">
        <v>43</v>
      </c>
    </row>
    <row r="9" spans="1:3" x14ac:dyDescent="0.2">
      <c r="A9" s="39" t="s">
        <v>93</v>
      </c>
      <c r="B9" s="8">
        <f>SS_Analysis!H51</f>
        <v>1.4300263802829551</v>
      </c>
      <c r="C9" s="9" t="s">
        <v>43</v>
      </c>
    </row>
    <row r="10" spans="1:3" x14ac:dyDescent="0.2">
      <c r="A10" s="7" t="s">
        <v>63</v>
      </c>
      <c r="B10" s="8">
        <v>0.25</v>
      </c>
      <c r="C10" s="9" t="s">
        <v>64</v>
      </c>
    </row>
    <row r="11" spans="1:3" ht="15" thickBot="1" x14ac:dyDescent="0.25">
      <c r="A11" s="10" t="s">
        <v>5</v>
      </c>
      <c r="B11" s="11">
        <f>SS_Analysis!B11</f>
        <v>100</v>
      </c>
      <c r="C11" s="12" t="s">
        <v>6</v>
      </c>
    </row>
    <row r="12" spans="1:3" ht="16.5" thickTop="1" x14ac:dyDescent="0.25">
      <c r="A12" s="13"/>
    </row>
    <row r="14" spans="1:3" ht="18" x14ac:dyDescent="0.25">
      <c r="A14" s="2" t="s">
        <v>65</v>
      </c>
    </row>
    <row r="15" spans="1:3" ht="18.75" thickBot="1" x14ac:dyDescent="0.3">
      <c r="A15" s="2"/>
    </row>
    <row r="16" spans="1:3" ht="16.5" thickTop="1" thickBot="1" x14ac:dyDescent="0.3">
      <c r="A16" s="3" t="s">
        <v>0</v>
      </c>
      <c r="B16" s="3" t="s">
        <v>1</v>
      </c>
      <c r="C16" s="3" t="s">
        <v>2</v>
      </c>
    </row>
    <row r="17" spans="1:3" ht="15" thickTop="1" x14ac:dyDescent="0.2">
      <c r="A17" s="60" t="s">
        <v>66</v>
      </c>
      <c r="B17" s="61" t="s">
        <v>67</v>
      </c>
      <c r="C17" s="62"/>
    </row>
    <row r="18" spans="1:3" x14ac:dyDescent="0.2">
      <c r="A18" s="63" t="s">
        <v>68</v>
      </c>
      <c r="B18" s="64" t="s">
        <v>69</v>
      </c>
      <c r="C18" s="65"/>
    </row>
    <row r="19" spans="1:3" x14ac:dyDescent="0.2">
      <c r="A19" s="63" t="s">
        <v>70</v>
      </c>
      <c r="B19" s="66"/>
      <c r="C19" s="65" t="s">
        <v>71</v>
      </c>
    </row>
    <row r="20" spans="1:3" x14ac:dyDescent="0.2">
      <c r="A20" s="63" t="s">
        <v>72</v>
      </c>
      <c r="B20" s="66"/>
      <c r="C20" s="65" t="s">
        <v>73</v>
      </c>
    </row>
    <row r="21" spans="1:3" x14ac:dyDescent="0.2">
      <c r="A21" s="63" t="s">
        <v>74</v>
      </c>
      <c r="B21" s="66"/>
      <c r="C21" s="65" t="s">
        <v>75</v>
      </c>
    </row>
    <row r="22" spans="1:3" x14ac:dyDescent="0.2">
      <c r="A22" s="63" t="s">
        <v>76</v>
      </c>
      <c r="B22" s="66"/>
      <c r="C22" s="65" t="s">
        <v>71</v>
      </c>
    </row>
    <row r="23" spans="1:3" x14ac:dyDescent="0.2">
      <c r="A23" s="63" t="s">
        <v>77</v>
      </c>
      <c r="B23" s="66"/>
      <c r="C23" s="65" t="s">
        <v>73</v>
      </c>
    </row>
    <row r="24" spans="1:3" x14ac:dyDescent="0.2">
      <c r="A24" s="63" t="s">
        <v>78</v>
      </c>
      <c r="B24" s="67"/>
      <c r="C24" s="65" t="s">
        <v>79</v>
      </c>
    </row>
    <row r="25" spans="1:3" x14ac:dyDescent="0.2">
      <c r="A25" s="63" t="s">
        <v>80</v>
      </c>
      <c r="B25" s="67"/>
      <c r="C25" s="65" t="s">
        <v>81</v>
      </c>
    </row>
    <row r="26" spans="1:3" x14ac:dyDescent="0.2">
      <c r="A26" s="68" t="s">
        <v>82</v>
      </c>
      <c r="B26" s="69"/>
      <c r="C26" s="65"/>
    </row>
    <row r="27" spans="1:3" ht="15" thickBot="1" x14ac:dyDescent="0.25">
      <c r="A27" s="70" t="s">
        <v>83</v>
      </c>
      <c r="B27" s="71">
        <v>0.65</v>
      </c>
      <c r="C27" s="72"/>
    </row>
    <row r="28" spans="1:3" ht="15" thickTop="1" x14ac:dyDescent="0.2"/>
    <row r="30" spans="1:3" ht="18" x14ac:dyDescent="0.25">
      <c r="A30" s="2" t="s">
        <v>84</v>
      </c>
    </row>
    <row r="31" spans="1:3" ht="15" thickBot="1" x14ac:dyDescent="0.25"/>
    <row r="32" spans="1:3" ht="16.5" thickTop="1" thickBot="1" x14ac:dyDescent="0.3">
      <c r="A32" s="3" t="s">
        <v>0</v>
      </c>
      <c r="B32" s="3" t="s">
        <v>1</v>
      </c>
      <c r="C32" s="3" t="s">
        <v>7</v>
      </c>
    </row>
    <row r="33" spans="1:7" ht="15" thickTop="1" x14ac:dyDescent="0.2">
      <c r="A33" s="60" t="s">
        <v>85</v>
      </c>
      <c r="B33" s="73">
        <v>0.1</v>
      </c>
      <c r="C33" s="74" t="s">
        <v>143</v>
      </c>
      <c r="G33" s="75"/>
    </row>
    <row r="34" spans="1:7" x14ac:dyDescent="0.2">
      <c r="A34" s="76" t="s">
        <v>86</v>
      </c>
      <c r="B34" s="77"/>
      <c r="C34" s="78" t="s">
        <v>144</v>
      </c>
      <c r="G34" s="75"/>
    </row>
    <row r="35" spans="1:7" x14ac:dyDescent="0.2">
      <c r="A35" s="76" t="s">
        <v>87</v>
      </c>
      <c r="B35" s="79"/>
      <c r="C35" s="78" t="s">
        <v>145</v>
      </c>
      <c r="F35" s="80"/>
      <c r="G35" s="75"/>
    </row>
    <row r="36" spans="1:7" ht="15.75" x14ac:dyDescent="0.25">
      <c r="A36" s="76" t="s">
        <v>88</v>
      </c>
      <c r="B36" s="81" t="str">
        <f>IF(B35&lt;=B10,"Yes","No")</f>
        <v>Yes</v>
      </c>
      <c r="C36" s="78"/>
      <c r="E36" s="13"/>
      <c r="F36" s="13"/>
      <c r="G36" s="13"/>
    </row>
    <row r="37" spans="1:7" x14ac:dyDescent="0.2">
      <c r="A37" s="76" t="s">
        <v>89</v>
      </c>
      <c r="B37" s="77"/>
      <c r="C37" s="78" t="s">
        <v>146</v>
      </c>
    </row>
    <row r="38" spans="1:7" x14ac:dyDescent="0.2">
      <c r="A38" s="83" t="s">
        <v>97</v>
      </c>
      <c r="B38" s="82">
        <v>0.5</v>
      </c>
      <c r="C38" s="78" t="s">
        <v>73</v>
      </c>
    </row>
    <row r="39" spans="1:7" x14ac:dyDescent="0.2">
      <c r="A39" s="83" t="s">
        <v>96</v>
      </c>
      <c r="B39" s="77"/>
      <c r="C39" s="78" t="s">
        <v>147</v>
      </c>
    </row>
    <row r="40" spans="1:7" x14ac:dyDescent="0.2">
      <c r="A40" s="83" t="s">
        <v>98</v>
      </c>
      <c r="B40" s="82">
        <v>5</v>
      </c>
      <c r="C40" s="78"/>
    </row>
    <row r="41" spans="1:7" x14ac:dyDescent="0.2">
      <c r="A41" s="83" t="s">
        <v>99</v>
      </c>
      <c r="B41" s="77"/>
      <c r="C41" s="78" t="s">
        <v>148</v>
      </c>
    </row>
    <row r="42" spans="1:7" ht="15" thickBot="1" x14ac:dyDescent="0.25">
      <c r="A42" s="85" t="s">
        <v>90</v>
      </c>
      <c r="B42" s="86"/>
      <c r="C42" s="87" t="s">
        <v>149</v>
      </c>
    </row>
    <row r="43" spans="1:7" ht="15" thickTop="1" x14ac:dyDescent="0.2">
      <c r="B43" s="75"/>
    </row>
    <row r="45" spans="1:7" ht="18" x14ac:dyDescent="0.25">
      <c r="A45" s="2" t="s">
        <v>100</v>
      </c>
    </row>
    <row r="46" spans="1:7" ht="15" thickBot="1" x14ac:dyDescent="0.25"/>
    <row r="47" spans="1:7" ht="16.5" thickTop="1" thickBot="1" x14ac:dyDescent="0.3">
      <c r="A47" s="3" t="s">
        <v>0</v>
      </c>
      <c r="B47" s="3" t="s">
        <v>1</v>
      </c>
      <c r="C47" s="3" t="s">
        <v>7</v>
      </c>
    </row>
    <row r="48" spans="1:7" ht="15" thickTop="1" x14ac:dyDescent="0.2">
      <c r="A48" s="83" t="s">
        <v>101</v>
      </c>
      <c r="B48" s="77"/>
      <c r="C48" s="78" t="s">
        <v>91</v>
      </c>
    </row>
    <row r="49" spans="1:3" x14ac:dyDescent="0.2">
      <c r="A49" s="76" t="s">
        <v>87</v>
      </c>
      <c r="B49" s="91"/>
      <c r="C49" s="65" t="s">
        <v>64</v>
      </c>
    </row>
    <row r="50" spans="1:3" x14ac:dyDescent="0.2">
      <c r="A50" s="83" t="s">
        <v>150</v>
      </c>
      <c r="B50" s="91"/>
      <c r="C50" s="65" t="s">
        <v>64</v>
      </c>
    </row>
    <row r="51" spans="1:3" ht="15" thickBot="1" x14ac:dyDescent="0.25">
      <c r="A51" s="84" t="s">
        <v>102</v>
      </c>
      <c r="B51" s="89"/>
      <c r="C51" s="90" t="s">
        <v>103</v>
      </c>
    </row>
    <row r="52" spans="1:3" ht="15" thickTop="1" x14ac:dyDescent="0.2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SS_Analysis</vt:lpstr>
      <vt:lpstr>Inductor_Design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William Wei</cp:lastModifiedBy>
  <dcterms:created xsi:type="dcterms:W3CDTF">2025-12-20T08:56:10Z</dcterms:created>
  <dcterms:modified xsi:type="dcterms:W3CDTF">2026-08-20T06:07:36Z</dcterms:modified>
</cp:coreProperties>
</file>