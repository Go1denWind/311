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wei275\Documents\GitHub\311\Excel\"/>
    </mc:Choice>
  </mc:AlternateContent>
  <xr:revisionPtr revIDLastSave="0" documentId="13_ncr:1_{1CFF7BB6-10F2-4CF5-BF41-862A5BB5013A}" xr6:coauthVersionLast="47" xr6:coauthVersionMax="47" xr10:uidLastSave="{00000000-0000-0000-0000-000000000000}"/>
  <bookViews>
    <workbookView xWindow="-120" yWindow="-120" windowWidth="29040" windowHeight="15720" activeTab="1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3" i="2" l="1"/>
  <c r="B44" i="2" s="1"/>
  <c r="B45" i="2" s="1"/>
  <c r="B6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B34" i="2" l="1"/>
  <c r="F49" i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37" i="2" l="1"/>
  <c r="B35" i="2"/>
  <c r="B41" i="2"/>
  <c r="F53" i="1"/>
  <c r="B9" i="2"/>
  <c r="D63" i="1"/>
  <c r="B43" i="1"/>
  <c r="B46" i="1" s="1"/>
  <c r="B54" i="1" s="1"/>
  <c r="F63" i="1"/>
  <c r="J64" i="1"/>
  <c r="D64" i="1"/>
  <c r="H63" i="1"/>
  <c r="B42" i="2" l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<sst xmlns="http://schemas.openxmlformats.org/spreadsheetml/2006/main" count="440" uniqueCount="203">
  <si>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</si>
  <si>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</si>
  <si>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</si>
  <si>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</si>
  <si>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</si>
  <si>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</si>
  <si>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</si>
  <si>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</si>
  <si>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</si>
  <si>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</si>
  <si>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</si>
  <si>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</si>
  <si>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</si>
  <si>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</si>
  <si>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</si>
  <si>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</si>
  <si>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</si>
  <si>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</si>
  <si>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</si>
  <si>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</si>
  <si>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</si>
  <si>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</si>
  <si>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</si>
  <si>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</si>
  <si>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</si>
  <si>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</si>
  <si>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</si>
  <si>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</si>
  <si>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</si>
  <si>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</si>
  <si>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</si>
  <si>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</si>
  <si>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</si>
  <si>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</si>
  <si>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</si>
  <si>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</si>
  <si>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</si>
  <si>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</si>
  <si>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</si>
  <si>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</si>
  <si>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</si>
  <si>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</si>
  <si>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</si>
  <si>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</si>
  <si>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</si>
  <si>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</si>
  <si>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</si>
  <si>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</si>
  <si>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</si>
  <si>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</si>
  <si>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</si>
  <si>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</si>
  <si>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</si>
  <si>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</si>
  <si>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</si>
  <si>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</si>
  <si>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</si>
  <si>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</si>
  <si>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</si>
  <si>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</si>
  <si>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</si>
  <si>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</si>
  <si>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</si>
  <si>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</si>
  <si>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</si>
  <si>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</si>
  <si>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</si>
  <si>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</si>
  <si>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</si>
  <si>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</si>
  <si>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</si>
  <si>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</si>
  <si>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</si>
  <si>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</si>
  <si>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</si>
  <si>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</si>
  <si>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</si>
  <si>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</si>
  <si>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</si>
  <si>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</si>
  <si>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</si>
  <si>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</si>
  <si>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</si>
  <si>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</si>
  <si>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</si>
  <si>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</si>
  <si>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</si>
  <si>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</si>
  <si>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</si>
  <si>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</si>
  <si>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</si>
  <si>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</si>
  <si>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</si>
  <si>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</si>
  <si>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</si>
  <si>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</si>
  <si>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</si>
  <si>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</si>
  <si>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</si>
  <si>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</si>
  <si>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</si>
  <si>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</si>
  <si>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</si>
  <si>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</si>
  <si>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</si>
  <si>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</si>
  <si>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</si>
  <si>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</si>
  <si>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</si>
  <si>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</si>
  <si>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</si>
  <si>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</si>
  <si>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</si>
  <si>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</si>
  <si>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</si>
  <si>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</si>
  <si>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</si>
  <si>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</si>
  <si>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</si>
  <si>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</si>
  <si>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</si>
  <si>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</si>
  <si>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</si>
  <si>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</si>
  <si>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</si>
  <si>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</si>
  <si>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</si>
  <si>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</si>
  <si>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</si>
  <si>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</si>
  <si>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</si>
  <si>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</si>
  <si>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</si>
  <si>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</si>
  <si>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</si>
  <si>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</si>
  <si>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</si>
  <si>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</si>
  <si>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</si>
  <si>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</si>
  <si>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</si>
  <si>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</si>
  <si>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</si>
  <si>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</si>
  <si>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</si>
  <si>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</si>
  <si>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</si>
  <si>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</si>
  <si>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</si>
  <si>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</si>
  <si>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</si>
  <si>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</si>
  <si>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</si>
  <si>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</si>
  <si>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</si>
  <si>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</si>
  <si>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</si>
  <si>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</si>
  <si>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</si>
  <si>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</si>
  <si>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</si>
  <si>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</si>
  <si>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</si>
  <si>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</si>
  <si>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</si>
  <si>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</si>
  <si>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</si>
  <si>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</si>
  <si>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</si>
  <si>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</si>
  <si>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</si>
  <si>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</si>
  <si>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</si>
  <si>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</si>
  <si>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</si>
  <si>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</si>
  <si>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</si>
  <si>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</si>
  <si>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</si>
  <si>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</si>
  <si>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</si>
  <si>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</si>
  <si>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</si>
  <si>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fp = 1/2piRC @ 10kHz corner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</si>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</sst>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28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NumberFormat="1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</cellXfs>
  <cellStyles count="4">
    <cellStyle name="20% - Accent1" xfId="2" builtinId="30"/>
    <cellStyle name="Check Cell" xfId="1" builtinId="2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184785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19"/>
  <sheetViews>
    <sheetView topLeftCell="A36" zoomScale="130" zoomScaleNormal="130" workbookViewId="0">
      <selection activeCell="B26" sqref="B26"/>
    </sheetView>
  </sheetViews>
  <sheetFormatPr defaultColWidth="12" defaultRowHeight="15" x14ac:dyDescent="0.25"/>
  <cols>
    <col min="1" max="1" width="20.42578125" customWidth="1"/>
    <col min="2" max="2" width="13.5703125" customWidth="1"/>
    <col min="3" max="3" width="13.28515625" customWidth="1"/>
    <col min="4" max="7" width="12.85546875" customWidth="1"/>
    <col min="8" max="8" width="22" customWidth="1"/>
    <col min="9" max="11" width="12.85546875" customWidth="1"/>
    <col min="12" max="12" width="17.42578125" customWidth="1"/>
    <col min="13" max="13" width="18.85546875" customWidth="1"/>
  </cols>
  <sheetData>
    <row r="1" spans="1:3" ht="21" x14ac:dyDescent="0.35">
      <c r="A1" s="1" t="s">
        <v>58</v>
      </c>
    </row>
    <row r="3" spans="1:3" ht="18.75" x14ac:dyDescent="0.3">
      <c r="A3" s="2" t="s">
        <v>137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7" t="s">
        <v>36</v>
      </c>
      <c r="B6" s="5">
        <v>3.5</v>
      </c>
      <c r="C6" s="6" t="s">
        <v>3</v>
      </c>
    </row>
    <row r="7" spans="1:3" x14ac:dyDescent="0.25">
      <c r="A7" s="38" t="s">
        <v>37</v>
      </c>
      <c r="B7" s="8">
        <v>2.5</v>
      </c>
      <c r="C7" s="9" t="s">
        <v>3</v>
      </c>
    </row>
    <row r="8" spans="1:3" x14ac:dyDescent="0.25">
      <c r="A8" s="38" t="s">
        <v>38</v>
      </c>
      <c r="B8" s="8">
        <v>5</v>
      </c>
      <c r="C8" s="9" t="s">
        <v>3</v>
      </c>
    </row>
    <row r="9" spans="1:3" x14ac:dyDescent="0.25">
      <c r="A9" s="38" t="s">
        <v>56</v>
      </c>
      <c r="B9" s="8">
        <v>5</v>
      </c>
      <c r="C9" s="9" t="s">
        <v>4</v>
      </c>
    </row>
    <row r="10" spans="1:3" x14ac:dyDescent="0.25">
      <c r="A10" s="38" t="s">
        <v>57</v>
      </c>
      <c r="B10" s="39">
        <v>0.5</v>
      </c>
      <c r="C10" s="40" t="s">
        <v>4</v>
      </c>
    </row>
    <row r="11" spans="1:3" ht="15.75" thickBot="1" x14ac:dyDescent="0.3">
      <c r="A11" s="10" t="s">
        <v>5</v>
      </c>
      <c r="B11" s="11"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55</v>
      </c>
    </row>
    <row r="15" spans="1:3" ht="15.75" thickBot="1" x14ac:dyDescent="0.3"/>
    <row r="16" spans="1:3" ht="16.5" thickTop="1" thickBot="1" x14ac:dyDescent="0.3">
      <c r="A16" s="3" t="s">
        <v>0</v>
      </c>
      <c r="B16" s="3" t="s">
        <v>1</v>
      </c>
      <c r="C16" s="3" t="s">
        <v>7</v>
      </c>
    </row>
    <row r="17" spans="1:3" ht="15.75" thickTop="1" x14ac:dyDescent="0.25">
      <c r="A17" s="45" t="s">
        <v>41</v>
      </c>
      <c r="B17" s="89">
        <f>1-(B7/B8)</f>
        <v>0.5</v>
      </c>
      <c r="C17" s="46" t="s">
        <v>102</v>
      </c>
    </row>
    <row r="18" spans="1:3" x14ac:dyDescent="0.25">
      <c r="A18" s="47" t="s">
        <v>40</v>
      </c>
      <c r="B18" s="90">
        <f>1-(B6/B9)</f>
        <v>0.30000000000000004</v>
      </c>
      <c r="C18" s="48" t="s">
        <v>103</v>
      </c>
    </row>
    <row r="19" spans="1:3" x14ac:dyDescent="0.25">
      <c r="A19" s="56" t="s">
        <v>59</v>
      </c>
      <c r="B19" s="57">
        <f>B9/B7</f>
        <v>2</v>
      </c>
      <c r="C19" s="58" t="s">
        <v>104</v>
      </c>
    </row>
    <row r="20" spans="1:3" x14ac:dyDescent="0.25">
      <c r="A20" s="49" t="s">
        <v>60</v>
      </c>
      <c r="B20" s="50">
        <f>B10/B6</f>
        <v>0.14285714285714285</v>
      </c>
      <c r="C20" s="51" t="s">
        <v>105</v>
      </c>
    </row>
    <row r="21" spans="1:3" x14ac:dyDescent="0.25">
      <c r="A21" s="52" t="s">
        <v>43</v>
      </c>
      <c r="B21" s="91">
        <f>1/3</f>
        <v>0.33333333333333331</v>
      </c>
      <c r="C21" s="17" t="s">
        <v>106</v>
      </c>
    </row>
    <row r="22" spans="1:3" x14ac:dyDescent="0.25">
      <c r="A22" s="52" t="s">
        <v>146</v>
      </c>
      <c r="B22" s="92">
        <f>B8^2/B10</f>
        <v>50</v>
      </c>
      <c r="C22" s="17" t="s">
        <v>151</v>
      </c>
    </row>
    <row r="23" spans="1:3" x14ac:dyDescent="0.25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 x14ac:dyDescent="0.25">
      <c r="A24" s="93" t="s">
        <v>147</v>
      </c>
      <c r="B24" s="28">
        <f>B23*1.2</f>
        <v>44.44444444444445</v>
      </c>
      <c r="C24" s="35" t="s">
        <v>8</v>
      </c>
    </row>
    <row r="25" spans="1:3" ht="15.75" thickBot="1" x14ac:dyDescent="0.3">
      <c r="A25" s="85" t="s">
        <v>101</v>
      </c>
      <c r="B25" s="94">
        <v>47</v>
      </c>
      <c r="C25" s="19" t="s">
        <v>8</v>
      </c>
    </row>
    <row r="26" spans="1:3" ht="15.75" thickTop="1" x14ac:dyDescent="0.25"/>
    <row r="28" spans="1:3" ht="18.75" x14ac:dyDescent="0.3">
      <c r="A28" s="2" t="s">
        <v>9</v>
      </c>
    </row>
    <row r="29" spans="1:3" ht="15.75" thickBot="1" x14ac:dyDescent="0.3"/>
    <row r="30" spans="1:3" ht="16.5" thickTop="1" thickBot="1" x14ac:dyDescent="0.3">
      <c r="A30" s="3" t="s">
        <v>0</v>
      </c>
      <c r="B30" s="3" t="s">
        <v>1</v>
      </c>
      <c r="C30" s="3" t="s">
        <v>7</v>
      </c>
    </row>
    <row r="31" spans="1:3" ht="15.75" thickTop="1" x14ac:dyDescent="0.25">
      <c r="A31" s="4" t="s">
        <v>10</v>
      </c>
      <c r="B31" s="5">
        <v>0.05</v>
      </c>
      <c r="C31" s="14" t="s">
        <v>3</v>
      </c>
    </row>
    <row r="32" spans="1:3" x14ac:dyDescent="0.25">
      <c r="A32" s="95" t="s">
        <v>148</v>
      </c>
      <c r="B32" s="96">
        <f>B9/B8</f>
        <v>1</v>
      </c>
      <c r="C32" s="35" t="s">
        <v>42</v>
      </c>
    </row>
    <row r="33" spans="1:11" x14ac:dyDescent="0.25">
      <c r="A33" s="15" t="s">
        <v>11</v>
      </c>
      <c r="B33" s="16">
        <f>10^6*B32*B17/(B11*10^3*B31)</f>
        <v>100</v>
      </c>
      <c r="C33" s="17" t="s">
        <v>150</v>
      </c>
    </row>
    <row r="34" spans="1:11" x14ac:dyDescent="0.25">
      <c r="A34" s="27" t="s">
        <v>149</v>
      </c>
      <c r="B34" s="28">
        <f>B33*1.2</f>
        <v>120</v>
      </c>
      <c r="C34" s="97" t="s">
        <v>107</v>
      </c>
    </row>
    <row r="35" spans="1:11" ht="15.75" thickBot="1" x14ac:dyDescent="0.3">
      <c r="A35" s="10" t="s">
        <v>12</v>
      </c>
      <c r="B35" s="94">
        <v>560</v>
      </c>
      <c r="C35" s="19" t="s">
        <v>107</v>
      </c>
    </row>
    <row r="36" spans="1:11" ht="15.75" thickTop="1" x14ac:dyDescent="0.25"/>
    <row r="38" spans="1:11" ht="18.75" x14ac:dyDescent="0.3">
      <c r="A38" s="2" t="s">
        <v>13</v>
      </c>
    </row>
    <row r="39" spans="1:11" ht="15.75" thickBot="1" x14ac:dyDescent="0.3"/>
    <row r="40" spans="1:11" ht="16.5" thickTop="1" thickBot="1" x14ac:dyDescent="0.3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.75" thickTop="1" x14ac:dyDescent="0.25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25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25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25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 x14ac:dyDescent="0.25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 x14ac:dyDescent="0.25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 x14ac:dyDescent="0.25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 x14ac:dyDescent="0.25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25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 x14ac:dyDescent="0.25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 x14ac:dyDescent="0.25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 x14ac:dyDescent="0.25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 x14ac:dyDescent="0.25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 x14ac:dyDescent="0.25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 x14ac:dyDescent="0.25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 x14ac:dyDescent="0.25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.75" thickBot="1" x14ac:dyDescent="0.3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.75" thickTop="1" x14ac:dyDescent="0.25">
      <c r="B58" s="32"/>
      <c r="C58" s="33"/>
    </row>
    <row r="59" spans="1:14" x14ac:dyDescent="0.25">
      <c r="B59" s="32"/>
      <c r="C59" s="33"/>
    </row>
    <row r="60" spans="1:14" ht="18.75" x14ac:dyDescent="0.3">
      <c r="A60" s="2" t="s">
        <v>19</v>
      </c>
    </row>
    <row r="62" spans="1:14" ht="15.75" thickBot="1" x14ac:dyDescent="0.3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/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.75" thickTop="1" x14ac:dyDescent="0.25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25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25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 x14ac:dyDescent="0.25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 x14ac:dyDescent="0.25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 x14ac:dyDescent="0.25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 x14ac:dyDescent="0.25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 x14ac:dyDescent="0.25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 x14ac:dyDescent="0.25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 x14ac:dyDescent="0.25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 x14ac:dyDescent="0.25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 x14ac:dyDescent="0.25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 x14ac:dyDescent="0.25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.75" thickBot="1" x14ac:dyDescent="0.3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.75" thickTop="1" x14ac:dyDescent="0.25"/>
    <row r="79" spans="1:12" ht="18.75" x14ac:dyDescent="0.3">
      <c r="A79" s="2" t="s">
        <v>22</v>
      </c>
    </row>
    <row r="80" spans="1:12" ht="15.75" thickBot="1" x14ac:dyDescent="0.3"/>
    <row r="81" spans="1:3" ht="16.5" thickTop="1" thickBot="1" x14ac:dyDescent="0.3">
      <c r="A81" s="3" t="s">
        <v>0</v>
      </c>
      <c r="B81" s="3" t="s">
        <v>1</v>
      </c>
      <c r="C81" s="3" t="s">
        <v>7</v>
      </c>
    </row>
    <row r="82" spans="1:3" ht="15.75" thickTop="1" x14ac:dyDescent="0.25">
      <c r="A82" s="4" t="s">
        <v>122</v>
      </c>
      <c r="B82" s="5">
        <v>1</v>
      </c>
      <c r="C82" s="14" t="s">
        <v>3</v>
      </c>
    </row>
    <row r="83" spans="1:3" x14ac:dyDescent="0.25">
      <c r="A83" s="15" t="s">
        <v>123</v>
      </c>
      <c r="B83" s="34">
        <v>4</v>
      </c>
      <c r="C83" s="17" t="s">
        <v>3</v>
      </c>
    </row>
    <row r="84" spans="1:3" x14ac:dyDescent="0.25">
      <c r="A84" s="15" t="s">
        <v>23</v>
      </c>
      <c r="B84" s="34">
        <v>2.5</v>
      </c>
      <c r="C84" s="35" t="s">
        <v>3</v>
      </c>
    </row>
    <row r="85" spans="1:3" ht="15.75" x14ac:dyDescent="0.25">
      <c r="A85" s="52" t="s">
        <v>128</v>
      </c>
      <c r="B85" s="36">
        <v>22</v>
      </c>
      <c r="C85" s="18" t="s">
        <v>24</v>
      </c>
    </row>
    <row r="86" spans="1:3" x14ac:dyDescent="0.25">
      <c r="A86" s="52" t="s">
        <v>127</v>
      </c>
      <c r="B86" s="34">
        <v>1</v>
      </c>
      <c r="C86" s="18" t="s">
        <v>25</v>
      </c>
    </row>
    <row r="87" spans="1:3" x14ac:dyDescent="0.25">
      <c r="A87" s="52" t="s">
        <v>126</v>
      </c>
      <c r="B87" s="16">
        <v>18</v>
      </c>
      <c r="C87" s="18" t="s">
        <v>26</v>
      </c>
    </row>
    <row r="88" spans="1:3" x14ac:dyDescent="0.25">
      <c r="A88" s="52" t="s">
        <v>125</v>
      </c>
      <c r="B88" s="16">
        <v>0.1</v>
      </c>
      <c r="C88" s="18" t="s">
        <v>132</v>
      </c>
    </row>
    <row r="89" spans="1:3" x14ac:dyDescent="0.25">
      <c r="A89" s="52" t="s">
        <v>129</v>
      </c>
      <c r="B89" s="16">
        <v>39</v>
      </c>
      <c r="C89" s="18" t="s">
        <v>191</v>
      </c>
    </row>
    <row r="90" spans="1:3" x14ac:dyDescent="0.25">
      <c r="A90" s="52" t="s">
        <v>130</v>
      </c>
      <c r="B90" s="16">
        <v>140</v>
      </c>
      <c r="C90" s="18" t="s">
        <v>192</v>
      </c>
    </row>
    <row r="91" spans="1:3" x14ac:dyDescent="0.25">
      <c r="A91" s="52" t="s">
        <v>131</v>
      </c>
      <c r="B91" s="16">
        <v>100</v>
      </c>
      <c r="C91" s="18" t="s">
        <v>133</v>
      </c>
    </row>
    <row r="92" spans="1:3" x14ac:dyDescent="0.25">
      <c r="A92" s="52" t="s">
        <v>27</v>
      </c>
      <c r="B92" s="16">
        <v>100</v>
      </c>
      <c r="C92" s="18" t="s">
        <v>134</v>
      </c>
    </row>
    <row r="93" spans="1:3" x14ac:dyDescent="0.25">
      <c r="A93" s="52" t="s">
        <v>28</v>
      </c>
      <c r="B93" s="16">
        <v>100</v>
      </c>
      <c r="C93" s="18" t="s">
        <v>135</v>
      </c>
    </row>
    <row r="94" spans="1:3" x14ac:dyDescent="0.25">
      <c r="A94" s="52" t="s">
        <v>124</v>
      </c>
      <c r="B94" s="16">
        <v>3300</v>
      </c>
      <c r="C94" s="18" t="s">
        <v>136</v>
      </c>
    </row>
    <row r="95" spans="1:3" x14ac:dyDescent="0.25">
      <c r="A95" s="15" t="s">
        <v>120</v>
      </c>
      <c r="B95" s="34">
        <v>4.7</v>
      </c>
      <c r="C95" s="18" t="s">
        <v>29</v>
      </c>
    </row>
    <row r="96" spans="1:3" x14ac:dyDescent="0.25">
      <c r="A96" s="15" t="s">
        <v>121</v>
      </c>
      <c r="B96" s="34">
        <v>10</v>
      </c>
      <c r="C96" s="18" t="s">
        <v>29</v>
      </c>
    </row>
    <row r="97" spans="1:11" x14ac:dyDescent="0.25">
      <c r="A97" s="52" t="s">
        <v>163</v>
      </c>
      <c r="B97" s="34">
        <v>150</v>
      </c>
      <c r="C97" s="18" t="s">
        <v>162</v>
      </c>
    </row>
    <row r="98" spans="1:11" x14ac:dyDescent="0.25">
      <c r="A98" s="15" t="s">
        <v>30</v>
      </c>
      <c r="B98" s="108">
        <v>1</v>
      </c>
      <c r="C98" s="18"/>
    </row>
    <row r="99" spans="1:11" ht="15.75" thickBot="1" x14ac:dyDescent="0.3">
      <c r="A99" s="10" t="s">
        <v>31</v>
      </c>
      <c r="B99" s="109">
        <v>300</v>
      </c>
      <c r="C99" s="19"/>
    </row>
    <row r="100" spans="1:11" ht="15.75" thickTop="1" x14ac:dyDescent="0.25"/>
    <row r="102" spans="1:11" ht="18.75" x14ac:dyDescent="0.3">
      <c r="A102" s="2" t="s">
        <v>32</v>
      </c>
    </row>
    <row r="103" spans="1:11" ht="15.75" thickBot="1" x14ac:dyDescent="0.3"/>
    <row r="104" spans="1:11" ht="16.5" thickTop="1" thickBot="1" x14ac:dyDescent="0.3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.75" thickTop="1" x14ac:dyDescent="0.25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 x14ac:dyDescent="0.25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 x14ac:dyDescent="0.25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.75" thickBot="1" x14ac:dyDescent="0.3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.75" thickTop="1" x14ac:dyDescent="0.25"/>
    <row r="111" spans="1:11" ht="18.75" x14ac:dyDescent="0.3">
      <c r="A111" s="2" t="s">
        <v>164</v>
      </c>
    </row>
    <row r="112" spans="1:11" ht="15.75" thickBot="1" x14ac:dyDescent="0.3"/>
    <row r="113" spans="1:8" ht="16.5" thickTop="1" thickBot="1" x14ac:dyDescent="0.3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.75" thickTop="1" x14ac:dyDescent="0.25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185</v>
      </c>
    </row>
    <row r="115" spans="1:8" x14ac:dyDescent="0.25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185</v>
      </c>
    </row>
    <row r="116" spans="1:8" x14ac:dyDescent="0.25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183</v>
      </c>
      <c r="G116" s="22"/>
      <c r="H116" s="22" t="s">
        <v>184</v>
      </c>
    </row>
    <row r="117" spans="1:8" ht="15.75" thickBot="1" x14ac:dyDescent="0.3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6.5" thickTop="1" thickBot="1" x14ac:dyDescent="0.3">
      <c r="A118" s="85" t="s">
        <v>186</v>
      </c>
      <c r="B118" s="100" t="s">
        <v>187</v>
      </c>
      <c r="C118" s="30"/>
      <c r="D118" s="30" t="s">
        <v>188</v>
      </c>
      <c r="E118" s="30"/>
      <c r="F118" s="30" t="s">
        <v>190</v>
      </c>
      <c r="G118" s="30"/>
      <c r="H118" s="30" t="s">
        <v>189</v>
      </c>
    </row>
    <row r="119" spans="1:8" ht="15.75" thickTop="1" x14ac:dyDescent="0.25"/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5"/>
  <sheetViews>
    <sheetView tabSelected="1" topLeftCell="A21" workbookViewId="0">
      <selection activeCell="B44" sqref="B44"/>
    </sheetView>
  </sheetViews>
  <sheetFormatPr defaultColWidth="12" defaultRowHeight="15" x14ac:dyDescent="0.25"/>
  <cols>
    <col min="1" max="1" width="24.42578125" customWidth="1"/>
    <col min="2" max="9" width="12.85546875" customWidth="1"/>
  </cols>
  <sheetData>
    <row r="1" spans="1:3" ht="21" x14ac:dyDescent="0.35">
      <c r="A1" s="1" t="s">
        <v>90</v>
      </c>
    </row>
    <row r="3" spans="1:3" ht="18.75" x14ac:dyDescent="0.3">
      <c r="A3" s="2" t="s">
        <v>61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7" t="s">
        <v>101</v>
      </c>
      <c r="B6" s="5">
        <f>SS_Analysis!B25</f>
        <v>47</v>
      </c>
      <c r="C6" s="18" t="s">
        <v>8</v>
      </c>
    </row>
    <row r="7" spans="1:3" x14ac:dyDescent="0.25">
      <c r="A7" s="38" t="s">
        <v>92</v>
      </c>
      <c r="B7" s="8">
        <f>SS_Analysis!F46</f>
        <v>2</v>
      </c>
      <c r="C7" s="9" t="s">
        <v>42</v>
      </c>
    </row>
    <row r="8" spans="1:3" x14ac:dyDescent="0.25">
      <c r="A8" s="38" t="s">
        <v>93</v>
      </c>
      <c r="B8" s="8">
        <f>SS_Analysis!F49</f>
        <v>2.1329787234042552</v>
      </c>
      <c r="C8" s="9" t="s">
        <v>42</v>
      </c>
    </row>
    <row r="9" spans="1:3" x14ac:dyDescent="0.25">
      <c r="A9" s="38" t="s">
        <v>91</v>
      </c>
      <c r="B9" s="8">
        <f>SS_Analysis!F51</f>
        <v>2.0014730692565936</v>
      </c>
      <c r="C9" s="9" t="s">
        <v>42</v>
      </c>
    </row>
    <row r="10" spans="1:3" x14ac:dyDescent="0.25">
      <c r="A10" s="7" t="s">
        <v>62</v>
      </c>
      <c r="B10" s="8">
        <v>0.25</v>
      </c>
      <c r="C10" s="9" t="s">
        <v>63</v>
      </c>
    </row>
    <row r="11" spans="1:3" ht="15.75" thickBot="1" x14ac:dyDescent="0.3">
      <c r="A11" s="10" t="s">
        <v>5</v>
      </c>
      <c r="B11" s="11">
        <f>SS_Analysis!B11</f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64</v>
      </c>
    </row>
    <row r="15" spans="1:3" ht="19.5" thickBot="1" x14ac:dyDescent="0.35">
      <c r="A15" s="2"/>
    </row>
    <row r="16" spans="1:3" ht="16.5" thickTop="1" thickBot="1" x14ac:dyDescent="0.3">
      <c r="A16" s="3" t="s">
        <v>0</v>
      </c>
      <c r="B16" s="3" t="s">
        <v>1</v>
      </c>
      <c r="C16" s="3" t="s">
        <v>2</v>
      </c>
    </row>
    <row r="17" spans="1:3" ht="15.75" thickTop="1" x14ac:dyDescent="0.25">
      <c r="A17" s="59" t="s">
        <v>65</v>
      </c>
      <c r="B17" s="60" t="s">
        <v>66</v>
      </c>
      <c r="C17" s="61"/>
    </row>
    <row r="18" spans="1:3" x14ac:dyDescent="0.25">
      <c r="A18" s="62" t="s">
        <v>67</v>
      </c>
      <c r="B18" s="63" t="s">
        <v>68</v>
      </c>
      <c r="C18" s="64"/>
    </row>
    <row r="19" spans="1:3" x14ac:dyDescent="0.25">
      <c r="A19" s="62" t="s">
        <v>69</v>
      </c>
      <c r="B19" s="65">
        <v>31</v>
      </c>
      <c r="C19" s="64" t="s">
        <v>70</v>
      </c>
    </row>
    <row r="20" spans="1:3" x14ac:dyDescent="0.25">
      <c r="A20" s="62" t="s">
        <v>71</v>
      </c>
      <c r="B20" s="65">
        <v>47</v>
      </c>
      <c r="C20" s="64" t="s">
        <v>72</v>
      </c>
    </row>
    <row r="21" spans="1:3" x14ac:dyDescent="0.25">
      <c r="A21" s="62" t="s">
        <v>73</v>
      </c>
      <c r="B21" s="65">
        <v>1460</v>
      </c>
      <c r="C21" s="64" t="s">
        <v>74</v>
      </c>
    </row>
    <row r="22" spans="1:3" x14ac:dyDescent="0.25">
      <c r="A22" s="62" t="s">
        <v>75</v>
      </c>
      <c r="B22" s="65">
        <v>28.1</v>
      </c>
      <c r="C22" s="64" t="s">
        <v>70</v>
      </c>
    </row>
    <row r="23" spans="1:3" x14ac:dyDescent="0.25">
      <c r="A23" s="62" t="s">
        <v>76</v>
      </c>
      <c r="B23" s="65">
        <v>40.200000000000003</v>
      </c>
      <c r="C23" s="64" t="s">
        <v>72</v>
      </c>
    </row>
    <row r="24" spans="1:3" x14ac:dyDescent="0.25">
      <c r="A24" s="62" t="s">
        <v>77</v>
      </c>
      <c r="B24" s="66">
        <f>1.724*10^-8</f>
        <v>1.7240000000000001E-8</v>
      </c>
      <c r="C24" s="64" t="s">
        <v>78</v>
      </c>
    </row>
    <row r="25" spans="1:3" x14ac:dyDescent="0.25">
      <c r="A25" s="62" t="s">
        <v>79</v>
      </c>
      <c r="B25" s="119">
        <f>4*PI()*10^-7</f>
        <v>1.2566370614359173E-6</v>
      </c>
      <c r="C25" s="64" t="s">
        <v>80</v>
      </c>
    </row>
    <row r="26" spans="1:3" x14ac:dyDescent="0.25">
      <c r="A26" s="67" t="s">
        <v>81</v>
      </c>
      <c r="B26" s="121">
        <v>1510</v>
      </c>
      <c r="C26" s="64"/>
    </row>
    <row r="27" spans="1:3" ht="15.75" thickBot="1" x14ac:dyDescent="0.3">
      <c r="A27" s="68" t="s">
        <v>82</v>
      </c>
      <c r="B27" s="69">
        <v>0.65</v>
      </c>
      <c r="C27" s="70"/>
    </row>
    <row r="28" spans="1:3" ht="15.75" thickTop="1" x14ac:dyDescent="0.25"/>
    <row r="30" spans="1:3" ht="18.75" x14ac:dyDescent="0.3">
      <c r="A30" s="2" t="s">
        <v>83</v>
      </c>
    </row>
    <row r="31" spans="1:3" ht="15.75" thickBot="1" x14ac:dyDescent="0.3"/>
    <row r="32" spans="1:3" ht="16.5" thickTop="1" thickBot="1" x14ac:dyDescent="0.3">
      <c r="A32" s="3" t="s">
        <v>0</v>
      </c>
      <c r="B32" s="3" t="s">
        <v>1</v>
      </c>
      <c r="C32" s="3" t="s">
        <v>7</v>
      </c>
    </row>
    <row r="33" spans="1:7" ht="15.75" thickTop="1" x14ac:dyDescent="0.25">
      <c r="A33" s="59" t="s">
        <v>84</v>
      </c>
      <c r="B33" s="71">
        <v>0.1</v>
      </c>
      <c r="C33" s="72" t="s">
        <v>138</v>
      </c>
      <c r="G33" s="73"/>
    </row>
    <row r="34" spans="1:7" x14ac:dyDescent="0.25">
      <c r="A34" s="74" t="s">
        <v>195</v>
      </c>
      <c r="B34" s="123">
        <f>ROUND(SQRT((2*B6*10^-6*B33*10^-3)/(B25*B19*10^-6)),0)</f>
        <v>16</v>
      </c>
      <c r="C34" s="76" t="s">
        <v>139</v>
      </c>
      <c r="G34" s="73"/>
    </row>
    <row r="35" spans="1:7" x14ac:dyDescent="0.25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75" x14ac:dyDescent="0.25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 x14ac:dyDescent="0.25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 x14ac:dyDescent="0.25">
      <c r="A38" s="81" t="s">
        <v>95</v>
      </c>
      <c r="B38" s="80">
        <v>0.5</v>
      </c>
      <c r="C38" s="76" t="s">
        <v>72</v>
      </c>
    </row>
    <row r="39" spans="1:7" x14ac:dyDescent="0.25">
      <c r="A39" s="81" t="s">
        <v>94</v>
      </c>
      <c r="B39" s="120">
        <f>PI()*B38^2/4</f>
        <v>0.19634954084936207</v>
      </c>
      <c r="C39" s="76" t="s">
        <v>142</v>
      </c>
    </row>
    <row r="40" spans="1:7" x14ac:dyDescent="0.25">
      <c r="A40" s="81" t="s">
        <v>194</v>
      </c>
      <c r="B40" s="80">
        <v>5</v>
      </c>
      <c r="C40" s="76"/>
    </row>
    <row r="41" spans="1:7" x14ac:dyDescent="0.25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.75" thickBot="1" x14ac:dyDescent="0.3">
      <c r="A42" s="83" t="s">
        <v>88</v>
      </c>
      <c r="B42" s="124">
        <f>B9^2*B41*10^-3</f>
        <v>4.5246282688178256E-2</v>
      </c>
      <c r="C42" s="84" t="s">
        <v>144</v>
      </c>
    </row>
    <row r="43" spans="1:7" ht="15.75" thickTop="1" x14ac:dyDescent="0.25">
      <c r="A43" s="125" t="s">
        <v>198</v>
      </c>
      <c r="B43" s="126">
        <f>B35*10^3*SS_Analysis!F47/(2*B8)</f>
        <v>13.368479376977847</v>
      </c>
      <c r="C43" s="127" t="s">
        <v>199</v>
      </c>
    </row>
    <row r="44" spans="1:7" x14ac:dyDescent="0.25">
      <c r="A44" s="125" t="s">
        <v>196</v>
      </c>
      <c r="B44" s="126">
        <f>1.71*10^-5*B11^1.12*B43^2.29</f>
        <v>1.1264811121722047</v>
      </c>
      <c r="C44" s="127" t="s">
        <v>200</v>
      </c>
    </row>
    <row r="45" spans="1:7" x14ac:dyDescent="0.25">
      <c r="A45" s="125" t="s">
        <v>197</v>
      </c>
      <c r="B45" s="126">
        <f>(B44*10^3*B21*10^-9) + B42</f>
        <v>4.6890945111949675E-2</v>
      </c>
      <c r="C45" s="127" t="s">
        <v>201</v>
      </c>
    </row>
    <row r="46" spans="1:7" x14ac:dyDescent="0.25">
      <c r="A46" s="74" t="s">
        <v>193</v>
      </c>
      <c r="B46" s="77">
        <f>B9/(B40*B39)</f>
        <v>2.0386837275999632</v>
      </c>
      <c r="C46" s="76" t="s">
        <v>202</v>
      </c>
    </row>
    <row r="48" spans="1:7" ht="18.75" x14ac:dyDescent="0.3">
      <c r="A48" s="2" t="s">
        <v>97</v>
      </c>
    </row>
    <row r="49" spans="1:3" ht="15.75" thickBot="1" x14ac:dyDescent="0.3"/>
    <row r="50" spans="1:3" ht="16.5" thickTop="1" thickBot="1" x14ac:dyDescent="0.3">
      <c r="A50" s="3" t="s">
        <v>0</v>
      </c>
      <c r="B50" s="3" t="s">
        <v>1</v>
      </c>
      <c r="C50" s="3" t="s">
        <v>7</v>
      </c>
    </row>
    <row r="51" spans="1:3" ht="15.75" thickTop="1" x14ac:dyDescent="0.25">
      <c r="A51" s="81" t="s">
        <v>98</v>
      </c>
      <c r="B51" s="75"/>
      <c r="C51" s="76" t="s">
        <v>89</v>
      </c>
    </row>
    <row r="52" spans="1:3" x14ac:dyDescent="0.25">
      <c r="A52" s="74" t="s">
        <v>85</v>
      </c>
      <c r="B52" s="88"/>
      <c r="C52" s="64" t="s">
        <v>63</v>
      </c>
    </row>
    <row r="53" spans="1:3" x14ac:dyDescent="0.25">
      <c r="A53" s="81" t="s">
        <v>145</v>
      </c>
      <c r="B53" s="88"/>
      <c r="C53" s="64" t="s">
        <v>63</v>
      </c>
    </row>
    <row r="54" spans="1:3" ht="15.75" thickBot="1" x14ac:dyDescent="0.3">
      <c r="A54" s="82" t="s">
        <v>99</v>
      </c>
      <c r="B54" s="86"/>
      <c r="C54" s="87" t="s">
        <v>100</v>
      </c>
    </row>
    <row r="55" spans="1:3" ht="15.75" thickTop="1" x14ac:dyDescent="0.25"/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2026-08-26T00:00:43Z</dcterms:modified>
</cp:coreProperties>
</file>