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C64696F2-8FF6-4030-B3D5-6DFF6CFBDF88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4" l="1"/>
  <c r="H35" i="4"/>
  <c r="D35" i="4"/>
  <c r="C35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<sst xmlns="http://schemas.openxmlformats.org/spreadsheetml/2006/main" count="585" uniqueCount="286">
  <si>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</si>
  <si>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</si>
  <si>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</si>
  <si>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</si>
  <si>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</si>
  <si>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</si>
  <si>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</si>
  <si>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</si>
  <si>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</si>
  <si>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</si>
  <si>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</si>
  <si>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</si>
  <si>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</si>
  <si>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</si>
  <si>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</si>
  <si>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</si>
  <si>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</si>
  <si>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</si>
  <si>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</si>
  <si>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</si>
  <si>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</si>
  <si>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</si>
  <si>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</si>
  <si>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</si>
  <si>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</si>
  <si>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</si>
  <si>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</si>
  <si>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</si>
  <si>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</si>
  <si>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</si>
  <si>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</si>
  <si>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</si>
  <si>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</si>
  <si>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</si>
  <si>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</si>
  <si>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</si>
  <si>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</si>
  <si>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</si>
  <si>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</si>
  <si>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</si>
  <si>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</si>
  <si>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</si>
  <si>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</si>
  <si>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</si>
  <si>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</si>
  <si>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</si>
  <si>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</si>
  <si>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</si>
  <si>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</si>
  <si>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</si>
  <si>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</si>
  <si>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</si>
  <si>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</si>
  <si>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</si>
  <si>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</si>
  <si>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</si>
  <si>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</si>
  <si>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</si>
  <si>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</si>
  <si>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</si>
  <si>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</si>
  <si>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</si>
  <si>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</si>
  <si>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</si>
  <si>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</si>
  <si>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</si>
  <si>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</si>
  <si>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</si>
  <si>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</si>
  <si>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</si>
  <si>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</si>
  <si>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</si>
  <si>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</si>
  <si>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</si>
  <si>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</si>
  <si>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</si>
  <si>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</si>
  <si>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</si>
  <si>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</si>
  <si>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</si>
  <si>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</si>
  <si>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</si>
  <si>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</si>
  <si>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</si>
  <si>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</si>
  <si>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</si>
  <si>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</si>
  <si>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</si>
  <si>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</si>
  <si>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</si>
  <si>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</si>
  <si>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</si>
  <si>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</si>
  <si>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</si>
  <si>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</si>
  <si>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</si>
  <si>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</si>
  <si>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</si>
  <si>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</si>
  <si>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</si>
  <si>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</si>
  <si>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</si>
  <si>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</si>
  <si>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</si>
  <si>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</si>
  <si>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</si>
  <si>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</si>
  <si>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</si>
  <si>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</si>
  <si>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</si>
  <si>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</si>
  <si>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</si>
  <si>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</si>
  <si>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</si>
  <si>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</si>
  <si>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</si>
  <si>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</si>
  <si>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</si>
  <si>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</si>
  <si>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</si>
  <si>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</si>
  <si>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</si>
  <si>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</si>
  <si>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</si>
  <si>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</si>
  <si>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</si>
  <si>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</si>
  <si>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</si>
  <si>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</si>
  <si>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</si>
  <si>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</si>
  <si>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</si>
  <si>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</si>
  <si>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</si>
  <si>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</si>
  <si>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</si>
  <si>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</si>
  <si>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</si>
  <si>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</si>
  <si>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</si>
  <si>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</si>
  <si>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</si>
  <si>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</si>
  <si>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</si>
  <si>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</si>
  <si>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</si>
  <si>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</si>
  <si>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</si>
  <si>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</si>
  <si>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</si>
  <si>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</si>
  <si>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</si>
  <si>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</si>
  <si>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</si>
  <si>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</si>
  <si>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</si>
  <si>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</si>
  <si>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</si>
  <si>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</si>
  <si>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</si>
  <si>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</si>
  <si>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</si>
  <si>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</si>
  <si>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</si>
  <si>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</si>
  <si>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</si>
  <si>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</si>
  <si>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</si>
  <si>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</si>
  <si>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</si>
  <si>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</si>
  <si>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</si>
  <si>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</si>
  <si>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</si>
  <si>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</si>
  <si>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</si>
  <si>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</si>
  <si>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</si>
  <si>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</si>
  <si>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</si>
  <si>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</si>
  <si>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</si>
  <si>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</si>
  <si>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</si>
  <si>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</si>
  <si>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</si>
  <si>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</si>
  <si>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</si>
  <si>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</si>
  <si>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</si>
  <si>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</si>
  <si>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</si>
  <si>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</si>
  <si>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</si>
  <si>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</si>
  <si>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</si>
  <si>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</si>
  <si>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</si>
  <si>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</si>
  <si>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</si>
  <si>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</si>
  <si>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</si>
  <si>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</si>
  <si>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</si>
  <si>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</si>
  <si>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</si>
  <si>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</si>
  <si>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</si>
  <si>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</si>
  <si>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</si>
  <si>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</si>
  <si>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</si>
  <si>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</si>
  <si>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</si>
  <si>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</si>
  <si>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</si>
  <si>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</si>
  <si>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</si>
  <si>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</si>
  <si>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</si>
  <si>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</si>
  <si>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</si>
  <si>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</si>
  <si>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</si>
  <si>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</si>
  <si>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</si>
  <si>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</si>
  <si>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</si>
  <si>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</si>
  <si>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</si>
  <si>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</si>
  <si>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</si>
  <si>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</si>
  <si>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</si>
  <si>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</si>
  <si>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</si>
  <si>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</si>
  <si>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</si>
  <si>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</si>
  <si>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</si>
  <si>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</si>
  <si>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</si>
  <si>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</si>
  <si>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</si>
  <si>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</si>
  <si>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</si>
  <si>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</si>
  <si>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</si>
  <si>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</si>
  <si>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</si>
  <si>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</si>
  <si>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</si>
  <si>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</si>
  <si>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</si>
  <si>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</si>
  <si>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</si>
  <si>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</si>
  <si>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</si>
  <si>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</si>
  <si>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</si>
  <si>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</si>
  <si>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</si>
  <si>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</si>
  <si>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</si>
  <si>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</si>
  <si>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</si>
  <si>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</si>
  <si>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</si>
  <si>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</si>
  <si>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</si>
  <si>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</si>
  <si>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</si>
  <si>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</si>
  <si>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</si>
  <si>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</si>
  <si>
    <t>1 - 0.35</t>
  </si>
  <si>
    <t>V ripple</t>
  </si>
  <si>
    <t>1 - 0.47</t>
  </si>
  <si>
    <t>1 - 0.6</t>
  </si>
  <si>
    <t>1 - 0.67</t>
  </si>
  <si>
    <t>Output Voltages as displayed on Oscilloscope - (At boundary conditions - 2.5/3.5V, 5/50ohm)</t>
  </si>
  <si>
    <t>Over Voltage Protection (OVP)</t>
  </si>
  <si>
    <t>From putting a 7v signal through the 5v pin on the pcb, then measuring Vout and capturing the time it takes</t>
  </si>
  <si>
    <t>to go high  (set to 6V)</t>
  </si>
  <si>
    <t>Speed: 286.4ns</t>
  </si>
  <si>
    <t>OverVoltage threshold is 6.1, will lower in 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</si>
</sst>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EB9C"/>
      </patternFill>
    </fill>
  </fills>
  <borders count="6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12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1" fillId="14" borderId="0" applyNumberFormat="0" applyBorder="0" applyAlignment="0" applyProtection="0"/>
  </cellStyleXfs>
  <cellXfs count="149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9" fontId="0" fillId="8" borderId="66" xfId="5" applyNumberFormat="1" applyFont="1"/>
    <xf numFmtId="0" fontId="0" fillId="8" borderId="67" xfId="5" applyFont="1" applyBorder="1"/>
    <xf numFmtId="0" fontId="11" fillId="14" borderId="0" xfId="11" applyBorder="1"/>
    <xf numFmtId="0" fontId="11" fillId="14" borderId="0" xfId="11"/>
  </cellXfs>
  <cellStyles count="12">
    <cellStyle name="20% - Accent1" xfId="2" builtinId="30"/>
    <cellStyle name="20% - Accent6" xfId="10" builtinId="50"/>
    <cellStyle name="40% - Accent1" xfId="6" builtinId="31"/>
    <cellStyle name="40% - Accent2" xfId="7" builtinId="35"/>
    <cellStyle name="40% - Accent4" xfId="9" builtinId="43"/>
    <cellStyle name="60% - Accent2" xfId="8" builtinId="36"/>
    <cellStyle name="Calculation" xfId="4" builtinId="22"/>
    <cellStyle name="Check Cell" xfId="1" builtinId="23"/>
    <cellStyle name="Neutral" xfId="11" builtinId="28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30</xdr:row>
      <xdr:rowOff>1</xdr:rowOff>
    </xdr:from>
    <xdr:to>
      <xdr:col>26</xdr:col>
      <xdr:colOff>138545</xdr:colOff>
      <xdr:row>51</xdr:row>
      <xdr:rowOff>101120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7EAD04-260A-155D-294C-837BBD2CB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5403274"/>
          <a:ext cx="6844145" cy="3883410"/>
        </a:xfrm>
        <a:prstGeom prst="rect">
          <a:avLst/>
        </a:prstGeom>
      </xdr:spPr>
    </xdr:pic>
    <xdr:clientData/>
  </xdr:twoCellAnchor>
  <xdr:twoCellAnchor editAs="oneCell">
    <xdr:from>
      <xdr:col>27</xdr:col>
      <xdr:colOff>13856</xdr:colOff>
      <xdr:row>30</xdr:row>
      <xdr:rowOff>1</xdr:rowOff>
    </xdr:from>
    <xdr:to>
      <xdr:col>38</xdr:col>
      <xdr:colOff>152400</xdr:colOff>
      <xdr:row>51</xdr:row>
      <xdr:rowOff>101145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943837-512B-AE1D-34B4-B274ADB01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73056" y="5403274"/>
          <a:ext cx="6844144" cy="3883435"/>
        </a:xfrm>
        <a:prstGeom prst="rect">
          <a:avLst/>
        </a:prstGeom>
      </xdr:spPr>
    </xdr:pic>
    <xdr:clientData/>
  </xdr:twoCellAnchor>
  <xdr:twoCellAnchor editAs="oneCell">
    <xdr:from>
      <xdr:col>27</xdr:col>
      <xdr:colOff>1</xdr:colOff>
      <xdr:row>53</xdr:row>
      <xdr:rowOff>1</xdr:rowOff>
    </xdr:from>
    <xdr:to>
      <xdr:col>38</xdr:col>
      <xdr:colOff>180109</xdr:colOff>
      <xdr:row>74</xdr:row>
      <xdr:rowOff>123910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26C3D7-8ED7-B892-38C2-88CEB614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459201" y="9545783"/>
          <a:ext cx="6885708" cy="3906200"/>
        </a:xfrm>
        <a:prstGeom prst="rect">
          <a:avLst/>
        </a:prstGeom>
      </xdr:spPr>
    </xdr:pic>
    <xdr:clientData/>
  </xdr:twoCellAnchor>
  <xdr:twoCellAnchor editAs="oneCell">
    <xdr:from>
      <xdr:col>14</xdr:col>
      <xdr:colOff>554182</xdr:colOff>
      <xdr:row>53</xdr:row>
      <xdr:rowOff>-1</xdr:rowOff>
    </xdr:from>
    <xdr:to>
      <xdr:col>26</xdr:col>
      <xdr:colOff>166255</xdr:colOff>
      <xdr:row>74</xdr:row>
      <xdr:rowOff>148285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67FB78-D5AF-7633-E768-577C29C1C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088582" y="9545781"/>
          <a:ext cx="6927273" cy="39305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110" zoomScale="111" zoomScaleNormal="130" workbookViewId="0">
      <selection activeCell="B129" sqref="B129"/>
    </sheetView>
  </sheetViews>
  <sheetFormatPr defaultColWidth="12" defaultRowHeight="14.4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>
      <c r="A1" s="1" t="s">
        <v>58</v>
      </c>
    </row>
    <row r="3" spans="1:3" ht="18">
      <c r="A3" s="2" t="s">
        <v>137</v>
      </c>
    </row>
    <row r="4" spans="1:3" ht="15" thickBot="1"/>
    <row r="5" spans="1:3" ht="15.6" thickTop="1" thickBot="1">
      <c r="A5" s="3" t="s">
        <v>0</v>
      </c>
      <c r="B5" s="3" t="s">
        <v>1</v>
      </c>
      <c r="C5" s="3" t="s">
        <v>2</v>
      </c>
    </row>
    <row r="6" spans="1:3" ht="15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5" thickBot="1">
      <c r="A11" s="10" t="s">
        <v>5</v>
      </c>
      <c r="B11" s="11">
        <v>100</v>
      </c>
      <c r="C11" s="12" t="s">
        <v>6</v>
      </c>
    </row>
    <row r="12" spans="1:3" ht="16.2" thickTop="1">
      <c r="A12" s="13"/>
    </row>
    <row r="14" spans="1:3" ht="18">
      <c r="A14" s="2" t="s">
        <v>55</v>
      </c>
    </row>
    <row r="15" spans="1:3" ht="15" thickBot="1"/>
    <row r="16" spans="1:3" ht="15.6" thickTop="1" thickBot="1">
      <c r="A16" s="3" t="s">
        <v>0</v>
      </c>
      <c r="B16" s="3" t="s">
        <v>1</v>
      </c>
      <c r="C16" s="3" t="s">
        <v>7</v>
      </c>
    </row>
    <row r="17" spans="1:3" ht="15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5" thickBot="1">
      <c r="A25" s="85" t="s">
        <v>101</v>
      </c>
      <c r="B25" s="94">
        <v>47</v>
      </c>
      <c r="C25" s="19" t="s">
        <v>8</v>
      </c>
    </row>
    <row r="26" spans="1:3" ht="15" thickTop="1"/>
    <row r="28" spans="1:3" ht="18">
      <c r="A28" s="2" t="s">
        <v>9</v>
      </c>
    </row>
    <row r="29" spans="1:3" ht="15" thickBot="1"/>
    <row r="30" spans="1:3" ht="15.6" thickTop="1" thickBot="1">
      <c r="A30" s="3" t="s">
        <v>0</v>
      </c>
      <c r="B30" s="3" t="s">
        <v>1</v>
      </c>
      <c r="C30" s="3" t="s">
        <v>7</v>
      </c>
    </row>
    <row r="31" spans="1:3" ht="15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5" thickBot="1">
      <c r="A35" s="10" t="s">
        <v>12</v>
      </c>
      <c r="B35" s="94">
        <v>560</v>
      </c>
      <c r="C35" s="19" t="s">
        <v>107</v>
      </c>
    </row>
    <row r="36" spans="1:11" ht="15" thickTop="1"/>
    <row r="38" spans="1:11" ht="18">
      <c r="A38" s="2" t="s">
        <v>13</v>
      </c>
    </row>
    <row r="39" spans="1:11" ht="15" thickBot="1"/>
    <row r="40" spans="1:11" ht="15.6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>
      <c r="B58" s="32"/>
      <c r="C58" s="33"/>
    </row>
    <row r="59" spans="1:14">
      <c r="B59" s="32"/>
      <c r="C59" s="33"/>
    </row>
    <row r="60" spans="1:14" ht="18">
      <c r="A60" s="2" t="s">
        <v>19</v>
      </c>
    </row>
    <row r="62" spans="1:14" ht="1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/>
    <row r="79" spans="1:12" ht="18">
      <c r="A79" s="2" t="s">
        <v>22</v>
      </c>
    </row>
    <row r="80" spans="1:12" ht="15" thickBot="1"/>
    <row r="81" spans="1:3" ht="15.6" thickTop="1" thickBot="1">
      <c r="A81" s="3" t="s">
        <v>0</v>
      </c>
      <c r="B81" s="3" t="s">
        <v>1</v>
      </c>
      <c r="C81" s="3" t="s">
        <v>7</v>
      </c>
    </row>
    <row r="82" spans="1:3" ht="15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.6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190</v>
      </c>
    </row>
    <row r="90" spans="1:3">
      <c r="A90" s="52" t="s">
        <v>130</v>
      </c>
      <c r="B90" s="16">
        <v>150</v>
      </c>
      <c r="C90" s="18" t="s">
        <v>191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5" thickBot="1">
      <c r="A99" s="10" t="s">
        <v>31</v>
      </c>
      <c r="B99" s="109">
        <v>300</v>
      </c>
      <c r="C99" s="19"/>
    </row>
    <row r="100" spans="1:11" ht="15" thickTop="1"/>
    <row r="102" spans="1:11" ht="18">
      <c r="A102" s="2" t="s">
        <v>32</v>
      </c>
    </row>
    <row r="103" spans="1:11" ht="15" thickBot="1"/>
    <row r="104" spans="1:11" ht="15.6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/>
    <row r="111" spans="1:11" ht="18">
      <c r="A111" s="2" t="s">
        <v>164</v>
      </c>
    </row>
    <row r="112" spans="1:11" ht="15" thickBot="1"/>
    <row r="113" spans="1:8" ht="15.6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/>
    <row r="120" spans="1:8">
      <c r="A120" s="129" t="s">
        <v>212</v>
      </c>
    </row>
    <row r="121" spans="1:8">
      <c r="A121" s="130" t="s">
        <v>206</v>
      </c>
      <c r="B121" t="s">
        <v>203</v>
      </c>
    </row>
    <row r="122" spans="1:8">
      <c r="A122" s="130" t="s">
        <v>205</v>
      </c>
    </row>
    <row r="123" spans="1:8">
      <c r="A123" s="130" t="s">
        <v>207</v>
      </c>
      <c r="B123" t="s">
        <v>204</v>
      </c>
    </row>
    <row r="124" spans="1:8">
      <c r="A124" s="130" t="s">
        <v>219</v>
      </c>
      <c r="B124" t="s">
        <v>208</v>
      </c>
    </row>
    <row r="125" spans="1:8">
      <c r="A125" s="129" t="s">
        <v>213</v>
      </c>
    </row>
    <row r="126" spans="1:8">
      <c r="A126" s="130" t="s">
        <v>209</v>
      </c>
      <c r="B126" t="s">
        <v>211</v>
      </c>
    </row>
    <row r="127" spans="1:8">
      <c r="A127" s="130" t="s">
        <v>210</v>
      </c>
    </row>
    <row r="128" spans="1:8">
      <c r="A128" s="130" t="s">
        <v>214</v>
      </c>
      <c r="B128" t="s">
        <v>215</v>
      </c>
    </row>
    <row r="129" spans="1:2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/>
  <cols>
    <col min="1" max="1" width="24.44140625" customWidth="1"/>
    <col min="2" max="9" width="12.88671875" customWidth="1"/>
  </cols>
  <sheetData>
    <row r="1" spans="1:5" ht="21">
      <c r="A1" s="1" t="s">
        <v>90</v>
      </c>
    </row>
    <row r="3" spans="1:5" ht="18">
      <c r="A3" s="2" t="s">
        <v>61</v>
      </c>
    </row>
    <row r="4" spans="1:5" ht="15" thickBot="1"/>
    <row r="5" spans="1:5" ht="15.6" thickTop="1" thickBot="1">
      <c r="A5" s="3" t="s">
        <v>0</v>
      </c>
      <c r="B5" s="3" t="s">
        <v>1</v>
      </c>
      <c r="C5" s="3" t="s">
        <v>2</v>
      </c>
      <c r="E5" s="73"/>
    </row>
    <row r="6" spans="1:5" ht="15" thickTop="1">
      <c r="A6" s="37" t="s">
        <v>101</v>
      </c>
      <c r="B6" s="5">
        <f>SS_Analysis!B25</f>
        <v>47</v>
      </c>
      <c r="C6" s="18" t="s">
        <v>8</v>
      </c>
    </row>
    <row r="7" spans="1:5">
      <c r="A7" s="38" t="s">
        <v>92</v>
      </c>
      <c r="B7" s="8">
        <f>SS_Analysis!F46</f>
        <v>2</v>
      </c>
      <c r="C7" s="9" t="s">
        <v>42</v>
      </c>
    </row>
    <row r="8" spans="1:5">
      <c r="A8" s="38" t="s">
        <v>93</v>
      </c>
      <c r="B8" s="8">
        <f>SS_Analysis!F49</f>
        <v>2.1329787234042552</v>
      </c>
      <c r="C8" s="9" t="s">
        <v>42</v>
      </c>
    </row>
    <row r="9" spans="1:5">
      <c r="A9" s="38" t="s">
        <v>91</v>
      </c>
      <c r="B9" s="8">
        <f>SS_Analysis!F51</f>
        <v>2.0014730692565936</v>
      </c>
      <c r="C9" s="9" t="s">
        <v>42</v>
      </c>
    </row>
    <row r="10" spans="1:5">
      <c r="A10" s="7" t="s">
        <v>62</v>
      </c>
      <c r="B10" s="8">
        <v>0.25</v>
      </c>
      <c r="C10" s="9" t="s">
        <v>63</v>
      </c>
    </row>
    <row r="11" spans="1:5" ht="15" thickBot="1">
      <c r="A11" s="10" t="s">
        <v>5</v>
      </c>
      <c r="B11" s="11">
        <f>SS_Analysis!B11</f>
        <v>100</v>
      </c>
      <c r="C11" s="12" t="s">
        <v>6</v>
      </c>
    </row>
    <row r="12" spans="1:5" ht="16.2" thickTop="1">
      <c r="A12" s="13"/>
    </row>
    <row r="14" spans="1:5" ht="18">
      <c r="A14" s="2" t="s">
        <v>64</v>
      </c>
    </row>
    <row r="15" spans="1:5" ht="18.600000000000001" thickBot="1">
      <c r="A15" s="2"/>
    </row>
    <row r="16" spans="1:5" ht="15.6" thickTop="1" thickBot="1">
      <c r="A16" s="3" t="s">
        <v>0</v>
      </c>
      <c r="B16" s="3" t="s">
        <v>1</v>
      </c>
      <c r="C16" s="3" t="s">
        <v>2</v>
      </c>
    </row>
    <row r="17" spans="1:3" ht="15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5" thickBot="1">
      <c r="A27" s="68" t="s">
        <v>82</v>
      </c>
      <c r="B27" s="69">
        <v>0.65</v>
      </c>
      <c r="C27" s="70"/>
    </row>
    <row r="28" spans="1:3" ht="15" thickTop="1"/>
    <row r="30" spans="1:3" ht="18">
      <c r="A30" s="2" t="s">
        <v>83</v>
      </c>
    </row>
    <row r="31" spans="1:3" ht="15" thickBot="1"/>
    <row r="32" spans="1:3" ht="15.6" thickTop="1" thickBot="1">
      <c r="A32" s="3" t="s">
        <v>0</v>
      </c>
      <c r="B32" s="3" t="s">
        <v>1</v>
      </c>
      <c r="C32" s="3" t="s">
        <v>7</v>
      </c>
    </row>
    <row r="33" spans="1:7" ht="15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193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>
      <c r="A46" s="74" t="s">
        <v>192</v>
      </c>
      <c r="B46" s="77">
        <f>B9/(B40*B39)</f>
        <v>2.0386837275999632</v>
      </c>
      <c r="C46" s="76" t="s">
        <v>201</v>
      </c>
    </row>
    <row r="47" spans="1:7">
      <c r="A47" s="128" t="s">
        <v>202</v>
      </c>
      <c r="B47" s="114">
        <f>B34*B40*B39/B27</f>
        <v>24.166097335306102</v>
      </c>
      <c r="C47" s="127" t="s">
        <v>70</v>
      </c>
    </row>
    <row r="49" spans="1:3" ht="18">
      <c r="A49" s="2" t="s">
        <v>97</v>
      </c>
    </row>
    <row r="50" spans="1:3" ht="15" thickBot="1"/>
    <row r="51" spans="1:3" ht="15.6" thickTop="1" thickBot="1">
      <c r="A51" s="3" t="s">
        <v>0</v>
      </c>
      <c r="B51" s="3" t="s">
        <v>1</v>
      </c>
      <c r="C51" s="3" t="s">
        <v>7</v>
      </c>
    </row>
    <row r="52" spans="1:3" ht="15" thickTop="1">
      <c r="A52" s="81" t="s">
        <v>98</v>
      </c>
      <c r="B52" s="75">
        <v>48.296999999999997</v>
      </c>
      <c r="C52" s="76" t="s">
        <v>89</v>
      </c>
    </row>
    <row r="53" spans="1:3">
      <c r="A53" s="74" t="s">
        <v>85</v>
      </c>
      <c r="B53" s="131">
        <f>(B52*B8)/(B34*B19)</f>
        <v>0.20769450283115989</v>
      </c>
      <c r="C53" s="64" t="s">
        <v>63</v>
      </c>
    </row>
    <row r="54" spans="1:3">
      <c r="A54" s="81" t="s">
        <v>145</v>
      </c>
      <c r="B54" s="88">
        <v>50</v>
      </c>
      <c r="C54" s="64" t="s">
        <v>100</v>
      </c>
    </row>
    <row r="55" spans="1:3" ht="15" thickBot="1">
      <c r="A55" s="82" t="s">
        <v>99</v>
      </c>
      <c r="B55" s="86">
        <v>273</v>
      </c>
      <c r="C55" s="87" t="s">
        <v>100</v>
      </c>
    </row>
    <row r="56" spans="1:3" ht="15" thickTop="1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B2:AD47"/>
  <sheetViews>
    <sheetView tabSelected="1" topLeftCell="A13" zoomScale="55" zoomScaleNormal="55" workbookViewId="0">
      <selection activeCell="G49" sqref="G49"/>
    </sheetView>
  </sheetViews>
  <sheetFormatPr defaultRowHeight="14.4"/>
  <sheetData>
    <row r="2" spans="2:25">
      <c r="B2" s="136" t="s">
        <v>220</v>
      </c>
      <c r="C2" s="136"/>
      <c r="D2" s="136"/>
      <c r="E2" s="136"/>
    </row>
    <row r="3" spans="2:25">
      <c r="B3" t="s">
        <v>221</v>
      </c>
      <c r="D3" t="s">
        <v>222</v>
      </c>
      <c r="G3" t="s">
        <v>223</v>
      </c>
      <c r="K3" t="s">
        <v>224</v>
      </c>
    </row>
    <row r="4" spans="2:25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>
      <c r="B7">
        <v>20</v>
      </c>
      <c r="D7" s="129">
        <v>22</v>
      </c>
      <c r="E7" t="s">
        <v>225</v>
      </c>
      <c r="K7" t="s">
        <v>232</v>
      </c>
    </row>
    <row r="8" spans="2:25">
      <c r="B8">
        <v>25</v>
      </c>
      <c r="C8" t="s">
        <v>225</v>
      </c>
      <c r="D8">
        <v>27</v>
      </c>
      <c r="G8" t="s">
        <v>233</v>
      </c>
    </row>
    <row r="9" spans="2:25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>
      <c r="B11">
        <v>40</v>
      </c>
      <c r="C11" t="s">
        <v>225</v>
      </c>
      <c r="D11">
        <v>39</v>
      </c>
    </row>
    <row r="12" spans="2:25">
      <c r="B12">
        <v>45</v>
      </c>
      <c r="C12" t="s">
        <v>225</v>
      </c>
      <c r="D12">
        <v>47</v>
      </c>
    </row>
    <row r="13" spans="2:25">
      <c r="B13">
        <v>50</v>
      </c>
      <c r="C13" t="s">
        <v>225</v>
      </c>
      <c r="D13" s="129">
        <v>47</v>
      </c>
      <c r="E13" t="s">
        <v>225</v>
      </c>
    </row>
    <row r="15" spans="2:25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>
      <c r="B22" s="138" t="s">
        <v>260</v>
      </c>
      <c r="C22" s="138"/>
      <c r="D22" s="138"/>
      <c r="E22" s="138"/>
      <c r="F22" s="138"/>
      <c r="G22" s="138"/>
    </row>
    <row r="24" spans="2:30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9" spans="2:30">
      <c r="B29" s="142" t="s">
        <v>268</v>
      </c>
      <c r="C29" s="138"/>
      <c r="D29" s="138"/>
      <c r="E29" s="138"/>
      <c r="F29" s="138"/>
      <c r="G29" s="138"/>
      <c r="P29" s="138" t="s">
        <v>280</v>
      </c>
      <c r="Q29" s="138"/>
      <c r="R29" s="138"/>
      <c r="S29" s="138"/>
      <c r="T29" s="138"/>
      <c r="U29" s="138"/>
      <c r="V29" s="138"/>
      <c r="W29" s="138"/>
      <c r="X29" s="138"/>
      <c r="Y29" s="138"/>
    </row>
    <row r="31" spans="2:30">
      <c r="B31" s="142" t="s">
        <v>261</v>
      </c>
      <c r="C31" s="138"/>
      <c r="D31" s="138"/>
      <c r="F31" s="138" t="s">
        <v>265</v>
      </c>
      <c r="G31" s="138"/>
      <c r="H31" s="138"/>
      <c r="J31" t="s">
        <v>272</v>
      </c>
    </row>
    <row r="32" spans="2:30">
      <c r="B32" s="137" t="s">
        <v>248</v>
      </c>
      <c r="C32" s="143">
        <v>2.5</v>
      </c>
      <c r="D32" s="143">
        <v>3.5</v>
      </c>
      <c r="F32" s="137" t="s">
        <v>248</v>
      </c>
      <c r="G32" s="143">
        <v>2.5</v>
      </c>
      <c r="H32" s="143">
        <v>3.5</v>
      </c>
      <c r="J32" t="s">
        <v>269</v>
      </c>
    </row>
    <row r="33" spans="2:13">
      <c r="B33" s="141" t="s">
        <v>249</v>
      </c>
      <c r="C33" s="144" t="s">
        <v>275</v>
      </c>
      <c r="D33" s="144" t="s">
        <v>278</v>
      </c>
      <c r="F33" s="137" t="s">
        <v>249</v>
      </c>
      <c r="G33" s="144" t="s">
        <v>277</v>
      </c>
      <c r="H33" s="144" t="s">
        <v>279</v>
      </c>
      <c r="J33" t="s">
        <v>274</v>
      </c>
    </row>
    <row r="34" spans="2:13">
      <c r="B34" s="137" t="s">
        <v>226</v>
      </c>
      <c r="C34" s="144">
        <v>5.04</v>
      </c>
      <c r="D34" s="144">
        <v>5.05</v>
      </c>
      <c r="F34" s="137" t="s">
        <v>226</v>
      </c>
      <c r="G34" s="144">
        <v>4.97</v>
      </c>
      <c r="H34" s="144">
        <v>4.9800000000000004</v>
      </c>
      <c r="J34" t="s">
        <v>273</v>
      </c>
    </row>
    <row r="35" spans="2:13">
      <c r="B35" s="141" t="s">
        <v>266</v>
      </c>
      <c r="C35" s="145">
        <f>(C37/C36)</f>
        <v>0.68319999999999992</v>
      </c>
      <c r="D35" s="145">
        <f>D37/D36</f>
        <v>0.78988326848249024</v>
      </c>
      <c r="F35" s="141" t="s">
        <v>266</v>
      </c>
      <c r="G35" s="145">
        <f>G37/G36</f>
        <v>0.86</v>
      </c>
      <c r="H35" s="145">
        <f>H37/H36</f>
        <v>0.86</v>
      </c>
    </row>
    <row r="36" spans="2:13">
      <c r="B36" s="141" t="s">
        <v>267</v>
      </c>
      <c r="C36" s="144">
        <v>6.25</v>
      </c>
      <c r="D36" s="144">
        <v>5.14</v>
      </c>
      <c r="F36" s="141" t="s">
        <v>267</v>
      </c>
      <c r="G36" s="144">
        <v>0.5</v>
      </c>
      <c r="H36" s="144">
        <v>0.5</v>
      </c>
      <c r="J36" t="s">
        <v>270</v>
      </c>
    </row>
    <row r="37" spans="2:13">
      <c r="B37" s="141" t="s">
        <v>15</v>
      </c>
      <c r="C37" s="144">
        <v>4.2699999999999996</v>
      </c>
      <c r="D37" s="144">
        <v>4.0599999999999996</v>
      </c>
      <c r="F37" s="141" t="s">
        <v>15</v>
      </c>
      <c r="G37" s="144">
        <v>0.43</v>
      </c>
      <c r="H37" s="144">
        <v>0.43</v>
      </c>
      <c r="J37" t="s">
        <v>271</v>
      </c>
    </row>
    <row r="38" spans="2:13">
      <c r="B38" s="141" t="s">
        <v>276</v>
      </c>
      <c r="C38" s="146">
        <v>3.9</v>
      </c>
      <c r="D38" s="146">
        <v>4.04</v>
      </c>
      <c r="F38" s="141" t="s">
        <v>276</v>
      </c>
      <c r="G38" s="146">
        <v>2.88</v>
      </c>
      <c r="H38" s="146">
        <v>2.56</v>
      </c>
    </row>
    <row r="40" spans="2:13">
      <c r="B40" s="141" t="s">
        <v>281</v>
      </c>
    </row>
    <row r="42" spans="2:13">
      <c r="B42" s="147" t="s">
        <v>284</v>
      </c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</row>
    <row r="43" spans="2:13">
      <c r="B43" s="148" t="s">
        <v>282</v>
      </c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</row>
    <row r="44" spans="2:13">
      <c r="B44" s="147" t="s">
        <v>283</v>
      </c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</row>
    <row r="45" spans="2:13"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</row>
    <row r="46" spans="2:13">
      <c r="B46" s="147" t="s">
        <v>285</v>
      </c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</row>
    <row r="47" spans="2:13"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2026-10-01T01:30:53Z</dcterms:modified>
</cp:coreProperties>
</file>