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A21EF389-5E2F-4FE6-B20B-22B3D5565A13}" xr6:coauthVersionLast="47" xr6:coauthVersionMax="47" xr10:uidLastSave="{00000000-0000-0000-0000-000000000000}"/>
  <bookViews>
    <workbookView xWindow="-98" yWindow="-98" windowWidth="21795" windowHeight="12975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" i="2" l="1"/>
  <c r="B6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B34" i="2" l="1"/>
  <c r="F49" i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37" i="2" l="1"/>
  <c r="B35" i="2"/>
  <c r="B43" i="2" s="1"/>
  <c r="B44" i="2" s="1"/>
  <c r="B41" i="2"/>
  <c r="F53" i="1"/>
  <c r="B9" i="2"/>
  <c r="D63" i="1"/>
  <c r="B43" i="1"/>
  <c r="B46" i="1" s="1"/>
  <c r="B54" i="1" s="1"/>
  <c r="F63" i="1"/>
  <c r="J64" i="1"/>
  <c r="D64" i="1"/>
  <c r="H63" i="1"/>
  <c r="B45" i="2" l="1"/>
  <c r="B42" i="2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<sst xmlns="http://schemas.openxmlformats.org/spreadsheetml/2006/main" count="459" uniqueCount="220">
  <si>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</si>
  <si>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</si>
  <si>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</si>
  <si>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</si>
  <si>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</si>
  <si>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</si>
  <si>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</si>
  <si>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</si>
  <si>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</si>
  <si>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</si>
  <si>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</si>
  <si>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</si>
  <si>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</si>
  <si>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</si>
  <si>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</si>
  <si>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</si>
  <si>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</si>
  <si>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</si>
  <si>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</si>
  <si>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</si>
  <si>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</si>
  <si>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</si>
  <si>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</si>
  <si>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</si>
  <si>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</si>
  <si>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</si>
  <si>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</si>
  <si>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</si>
  <si>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</si>
  <si>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</si>
  <si>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</si>
  <si>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</si>
  <si>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</si>
  <si>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</si>
  <si>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</si>
  <si>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</si>
  <si>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</si>
  <si>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</si>
  <si>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</si>
  <si>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</si>
  <si>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</si>
  <si>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</si>
  <si>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</si>
  <si>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</si>
  <si>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</si>
  <si>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</si>
  <si>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</si>
  <si>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</si>
  <si>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</si>
  <si>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</si>
  <si>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</si>
  <si>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</si>
  <si>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</si>
  <si>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</si>
  <si>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</si>
  <si>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</si>
  <si>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</si>
  <si>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</si>
  <si>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</si>
  <si>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</si>
  <si>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</si>
  <si>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</si>
  <si>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</si>
  <si>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</si>
  <si>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</si>
  <si>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</si>
  <si>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</si>
  <si>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</si>
  <si>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</si>
  <si>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</si>
  <si>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</si>
  <si>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</si>
  <si>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</si>
  <si>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</si>
  <si>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</si>
  <si>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</si>
  <si>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</si>
  <si>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</si>
  <si>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</si>
  <si>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</si>
  <si>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</si>
  <si>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</si>
  <si>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</si>
  <si>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</si>
  <si>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</si>
  <si>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</si>
  <si>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</si>
  <si>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</si>
  <si>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</si>
  <si>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</si>
  <si>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</si>
  <si>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</si>
  <si>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</si>
  <si>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</si>
  <si>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</si>
  <si>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</si>
  <si>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</si>
  <si>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</si>
  <si>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</si>
  <si>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</si>
  <si>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</si>
  <si>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</si>
  <si>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</si>
  <si>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</si>
  <si>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</si>
  <si>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</si>
  <si>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</si>
  <si>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</si>
  <si>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</si>
  <si>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</si>
  <si>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</si>
  <si>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</si>
  <si>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</si>
  <si>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</si>
  <si>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</si>
  <si>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</si>
  <si>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</si>
  <si>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</si>
  <si>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</si>
  <si>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</si>
  <si>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</si>
  <si>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</si>
  <si>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</si>
  <si>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</si>
  <si>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</si>
  <si>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</si>
  <si>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</si>
  <si>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</si>
  <si>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</si>
  <si>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</si>
  <si>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</si>
  <si>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</si>
  <si>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</si>
  <si>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</si>
  <si>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</si>
  <si>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</si>
  <si>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</si>
  <si>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</si>
  <si>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</si>
  <si>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</si>
  <si>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</si>
  <si>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</si>
  <si>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</si>
  <si>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</si>
  <si>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</si>
  <si>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</si>
  <si>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</si>
  <si>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</si>
  <si>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</si>
  <si>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</si>
  <si>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</si>
  <si>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</si>
  <si>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</si>
  <si>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</si>
  <si>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</si>
  <si>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</si>
  <si>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</si>
  <si>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</si>
  <si>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</si>
  <si>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</si>
  <si>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</si>
  <si>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</si>
  <si>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</si>
  <si>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</si>
  <si>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</si>
  <si>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</si>
  <si>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</si>
  <si>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</si>
  <si>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</si>
  <si>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</si>
  <si>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</si>
  <si>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</si>
  <si>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</si>
  <si>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</si>
  <si>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</si>
  <si>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</si>
  <si>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</si>
  <si>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</si>
  <si>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</si>
  <si>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</si>
  <si>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</si>
  <si>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</si>
  <si>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</si>
  <si>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fp = 1/2piRC @ 10kHz corner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</si>
  <si>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</si>
  <si>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</si>
  <si>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</si>
  <si>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</si>
  <si>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</si>
  <si>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</si>
  <si>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</si>
  <si>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</si>
  <si>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</si>
  <si>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</si>
  <si>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</si>
  <si>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</si>
  <si>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</si>
  <si>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</si>
  <si>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</si>
  <si>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</si>
  <si>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</si>
  <si>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</si>
  <si>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</si>
  <si>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</si>
  <si>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</si>
  <si>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</si>
  <si>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</si>
  <si>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</si>
  <si>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</si>
  <si>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</si>
  <si>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R7 = 200kOhms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</si>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</sst>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33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NumberFormat="1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166" fontId="0" fillId="0" borderId="0" xfId="0" applyNumberFormat="1" applyBorder="1"/>
    <xf numFmtId="0" fontId="0" fillId="0" borderId="64" xfId="0" applyFill="1" applyBorder="1"/>
    <xf numFmtId="0" fontId="9" fillId="0" borderId="0" xfId="0" applyFont="1"/>
    <xf numFmtId="0" fontId="0" fillId="3" borderId="0" xfId="2" applyFon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abSelected="1" topLeftCell="A119" zoomScale="130" zoomScaleNormal="130" workbookViewId="0">
      <selection activeCell="E127" sqref="E127"/>
    </sheetView>
  </sheetViews>
  <sheetFormatPr defaultColWidth="12" defaultRowHeight="13.5"/>
  <cols>
    <col min="1" max="1" width="20.4375" customWidth="1"/>
    <col min="2" max="2" width="13.5625" customWidth="1"/>
    <col min="3" max="3" width="13.3125" customWidth="1"/>
    <col min="4" max="7" width="12.875" customWidth="1"/>
    <col min="8" max="8" width="22" customWidth="1"/>
    <col min="9" max="11" width="12.875" customWidth="1"/>
    <col min="12" max="12" width="17.4375" customWidth="1"/>
    <col min="13" max="13" width="18.875" customWidth="1"/>
  </cols>
  <sheetData>
    <row r="1" spans="1:3" ht="20.65">
      <c r="A1" s="1" t="s">
        <v>58</v>
      </c>
    </row>
    <row r="3" spans="1:3" ht="17.649999999999999">
      <c r="A3" s="2" t="s">
        <v>137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55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3.9" thickBot="1">
      <c r="A25" s="85" t="s">
        <v>101</v>
      </c>
      <c r="B25" s="94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3.9" thickBot="1">
      <c r="A35" s="10" t="s">
        <v>12</v>
      </c>
      <c r="B35" s="94">
        <v>560</v>
      </c>
      <c r="C35" s="19" t="s">
        <v>107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3.9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3.9" thickTop="1">
      <c r="B58" s="32"/>
      <c r="C58" s="33"/>
    </row>
    <row r="59" spans="1:14">
      <c r="B59" s="32"/>
      <c r="C59" s="33"/>
    </row>
    <row r="60" spans="1:14" ht="17.649999999999999">
      <c r="A60" s="2" t="s">
        <v>19</v>
      </c>
    </row>
    <row r="62" spans="1:14" ht="14.2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3.9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3.9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3.9" thickTop="1"/>
    <row r="79" spans="1:12" ht="17.649999999999999">
      <c r="A79" s="2" t="s">
        <v>22</v>
      </c>
    </row>
    <row r="80" spans="1:12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191</v>
      </c>
    </row>
    <row r="90" spans="1:3">
      <c r="A90" s="52" t="s">
        <v>130</v>
      </c>
      <c r="B90" s="16">
        <v>140</v>
      </c>
      <c r="C90" s="18" t="s">
        <v>192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3.9" thickBot="1">
      <c r="A99" s="10" t="s">
        <v>31</v>
      </c>
      <c r="B99" s="109">
        <v>300</v>
      </c>
      <c r="C99" s="19"/>
    </row>
    <row r="100" spans="1:11" ht="13.9" thickTop="1"/>
    <row r="102" spans="1:11" ht="17.649999999999999">
      <c r="A102" s="2" t="s">
        <v>32</v>
      </c>
    </row>
    <row r="103" spans="1:11" ht="13.9" thickBot="1"/>
    <row r="104" spans="1:11" ht="14.65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3.9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3.9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3.9" thickTop="1"/>
    <row r="111" spans="1:11" ht="17.649999999999999">
      <c r="A111" s="2" t="s">
        <v>164</v>
      </c>
    </row>
    <row r="112" spans="1:11" ht="13.9" thickBot="1"/>
    <row r="113" spans="1:8" ht="14.65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3.9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185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185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183</v>
      </c>
      <c r="G116" s="22"/>
      <c r="H116" s="22" t="s">
        <v>184</v>
      </c>
    </row>
    <row r="117" spans="1:8" ht="13.9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4.25" thickTop="1" thickBot="1">
      <c r="A118" s="85" t="s">
        <v>186</v>
      </c>
      <c r="B118" s="100" t="s">
        <v>187</v>
      </c>
      <c r="C118" s="30"/>
      <c r="D118" s="30" t="s">
        <v>188</v>
      </c>
      <c r="E118" s="30"/>
      <c r="F118" s="30" t="s">
        <v>190</v>
      </c>
      <c r="G118" s="30"/>
      <c r="H118" s="30" t="s">
        <v>189</v>
      </c>
    </row>
    <row r="119" spans="1:8" ht="13.9" thickTop="1"/>
    <row r="120" spans="1:8" ht="13.9">
      <c r="A120" s="131" t="s">
        <v>214</v>
      </c>
    </row>
    <row r="121" spans="1:8">
      <c r="A121" s="132" t="s">
        <v>207</v>
      </c>
      <c r="B121" t="s">
        <v>204</v>
      </c>
    </row>
    <row r="122" spans="1:8">
      <c r="A122" s="132" t="s">
        <v>206</v>
      </c>
    </row>
    <row r="123" spans="1:8">
      <c r="A123" s="132" t="s">
        <v>208</v>
      </c>
      <c r="B123" t="s">
        <v>205</v>
      </c>
    </row>
    <row r="124" spans="1:8">
      <c r="A124" s="132" t="s">
        <v>210</v>
      </c>
      <c r="B124" t="s">
        <v>209</v>
      </c>
    </row>
    <row r="125" spans="1:8" ht="13.9">
      <c r="A125" s="131" t="s">
        <v>215</v>
      </c>
    </row>
    <row r="126" spans="1:8">
      <c r="A126" s="132" t="s">
        <v>211</v>
      </c>
      <c r="B126" t="s">
        <v>213</v>
      </c>
    </row>
    <row r="127" spans="1:8">
      <c r="A127" s="132" t="s">
        <v>212</v>
      </c>
    </row>
    <row r="128" spans="1:8">
      <c r="A128" s="132" t="s">
        <v>216</v>
      </c>
      <c r="B128" t="s">
        <v>217</v>
      </c>
    </row>
    <row r="129" spans="1:2">
      <c r="A129" s="132" t="s">
        <v>218</v>
      </c>
      <c r="B129" t="s">
        <v>219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16" workbookViewId="0">
      <selection activeCell="B28" sqref="B28"/>
    </sheetView>
  </sheetViews>
  <sheetFormatPr defaultColWidth="12" defaultRowHeight="13.5"/>
  <cols>
    <col min="1" max="1" width="24.4375" customWidth="1"/>
    <col min="2" max="9" width="12.875" customWidth="1"/>
  </cols>
  <sheetData>
    <row r="1" spans="1:3" ht="20.65">
      <c r="A1" s="1" t="s">
        <v>90</v>
      </c>
    </row>
    <row r="3" spans="1:3" ht="17.649999999999999">
      <c r="A3" s="2" t="s">
        <v>61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101</v>
      </c>
      <c r="B6" s="5">
        <f>SS_Analysis!B25</f>
        <v>47</v>
      </c>
      <c r="C6" s="18" t="s">
        <v>8</v>
      </c>
    </row>
    <row r="7" spans="1:3">
      <c r="A7" s="38" t="s">
        <v>92</v>
      </c>
      <c r="B7" s="8">
        <f>SS_Analysis!F46</f>
        <v>2</v>
      </c>
      <c r="C7" s="9" t="s">
        <v>42</v>
      </c>
    </row>
    <row r="8" spans="1:3">
      <c r="A8" s="38" t="s">
        <v>93</v>
      </c>
      <c r="B8" s="8">
        <f>SS_Analysis!F49</f>
        <v>2.1329787234042552</v>
      </c>
      <c r="C8" s="9" t="s">
        <v>42</v>
      </c>
    </row>
    <row r="9" spans="1:3">
      <c r="A9" s="38" t="s">
        <v>91</v>
      </c>
      <c r="B9" s="8">
        <f>SS_Analysis!F51</f>
        <v>2.0014730692565936</v>
      </c>
      <c r="C9" s="9" t="s">
        <v>42</v>
      </c>
    </row>
    <row r="10" spans="1:3">
      <c r="A10" s="7" t="s">
        <v>62</v>
      </c>
      <c r="B10" s="8">
        <v>0.25</v>
      </c>
      <c r="C10" s="9" t="s">
        <v>63</v>
      </c>
    </row>
    <row r="11" spans="1:3" ht="13.9" thickBot="1">
      <c r="A11" s="10" t="s">
        <v>5</v>
      </c>
      <c r="B11" s="11">
        <f>SS_Analysis!B11</f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64</v>
      </c>
    </row>
    <row r="15" spans="1:3" ht="18" thickBot="1">
      <c r="A15" s="2"/>
    </row>
    <row r="16" spans="1:3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3.9" thickBot="1">
      <c r="A27" s="68" t="s">
        <v>82</v>
      </c>
      <c r="B27" s="69">
        <v>0.65</v>
      </c>
      <c r="C27" s="70"/>
    </row>
    <row r="28" spans="1:3" ht="13.9" thickTop="1"/>
    <row r="30" spans="1:3" ht="17.649999999999999">
      <c r="A30" s="2" t="s">
        <v>83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195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194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3.9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3.9" thickTop="1">
      <c r="A43" s="125" t="s">
        <v>198</v>
      </c>
      <c r="B43" s="126">
        <f>B35*10^3*SS_Analysis!F47/(2*B8)</f>
        <v>13.368479376977847</v>
      </c>
      <c r="C43" s="127" t="s">
        <v>199</v>
      </c>
    </row>
    <row r="44" spans="1:7">
      <c r="A44" s="125" t="s">
        <v>196</v>
      </c>
      <c r="B44" s="126">
        <f>1.71*10^-5*B11^1.12*B43^2.29</f>
        <v>1.1264811121722047</v>
      </c>
      <c r="C44" s="127" t="s">
        <v>200</v>
      </c>
    </row>
    <row r="45" spans="1:7">
      <c r="A45" s="125" t="s">
        <v>197</v>
      </c>
      <c r="B45" s="126">
        <f>(B44*10^3*B21*10^-9) + B42</f>
        <v>4.6890945111949675E-2</v>
      </c>
      <c r="C45" s="127" t="s">
        <v>201</v>
      </c>
    </row>
    <row r="46" spans="1:7">
      <c r="A46" s="74" t="s">
        <v>193</v>
      </c>
      <c r="B46" s="77">
        <f>B9/(B40*B39)</f>
        <v>2.0386837275999632</v>
      </c>
      <c r="C46" s="76" t="s">
        <v>202</v>
      </c>
    </row>
    <row r="47" spans="1:7">
      <c r="A47" s="128" t="s">
        <v>203</v>
      </c>
      <c r="B47" s="129">
        <f>B34*B40*B39/B27</f>
        <v>24.166097335306102</v>
      </c>
      <c r="C47" s="130" t="s">
        <v>70</v>
      </c>
    </row>
    <row r="49" spans="1:3" ht="17.649999999999999">
      <c r="A49" s="2" t="s">
        <v>97</v>
      </c>
    </row>
    <row r="50" spans="1:3" ht="13.9" thickBot="1"/>
    <row r="51" spans="1:3" ht="14.65" thickTop="1" thickBot="1">
      <c r="A51" s="3" t="s">
        <v>0</v>
      </c>
      <c r="B51" s="3" t="s">
        <v>1</v>
      </c>
      <c r="C51" s="3" t="s">
        <v>7</v>
      </c>
    </row>
    <row r="52" spans="1:3" ht="13.9" thickTop="1">
      <c r="A52" s="81" t="s">
        <v>98</v>
      </c>
      <c r="B52" s="75"/>
      <c r="C52" s="76" t="s">
        <v>89</v>
      </c>
    </row>
    <row r="53" spans="1:3">
      <c r="A53" s="74" t="s">
        <v>85</v>
      </c>
      <c r="B53" s="88"/>
      <c r="C53" s="64" t="s">
        <v>63</v>
      </c>
    </row>
    <row r="54" spans="1:3">
      <c r="A54" s="81" t="s">
        <v>145</v>
      </c>
      <c r="B54" s="88"/>
      <c r="C54" s="64" t="s">
        <v>63</v>
      </c>
    </row>
    <row r="55" spans="1:3" ht="13.9" thickBot="1">
      <c r="A55" s="82" t="s">
        <v>99</v>
      </c>
      <c r="B55" s="86"/>
      <c r="C55" s="87" t="s">
        <v>100</v>
      </c>
    </row>
    <row r="56" spans="1:3" ht="13.9" thickTop="1"/>
  </sheetData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2026-09-03T05:58:04Z</dcterms:modified>
</cp:coreProperties>
</file>