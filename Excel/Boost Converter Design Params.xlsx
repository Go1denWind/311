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4A94C463-2E29-47D2-95EE-DD776DA90086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8" i="4" l="1"/>
  <c r="AC28" i="4"/>
  <c r="AD28" i="4"/>
  <c r="R28" i="4"/>
  <c r="S28" i="4"/>
  <c r="T28" i="4"/>
  <c r="W28" i="4"/>
  <c r="X28" i="4"/>
  <c r="Y28" i="4"/>
  <c r="H28" i="4"/>
  <c r="I28" i="4"/>
  <c r="J28" i="4"/>
  <c r="M28" i="4"/>
  <c r="N28" i="4"/>
  <c r="O28" i="4"/>
  <c r="E28" i="4"/>
  <c r="D28" i="4"/>
  <c r="C28" i="4"/>
  <c r="H36" i="4"/>
  <c r="G36" i="4"/>
  <c r="D36" i="4"/>
  <c r="C36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<sst xmlns="http://schemas.openxmlformats.org/spreadsheetml/2006/main" count="631" uniqueCount="315">
  <si>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</si>
  <si>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</si>
  <si>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</si>
  <si>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</si>
  <si>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</si>
  <si>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</si>
  <si>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</si>
  <si>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</si>
  <si>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</si>
  <si>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</si>
  <si>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</si>
  <si>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</si>
  <si>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</si>
  <si>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</si>
  <si>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</si>
  <si>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</si>
  <si>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</si>
  <si>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</si>
  <si>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</si>
  <si>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</si>
  <si>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</si>
  <si>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</si>
  <si>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</si>
  <si>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</si>
  <si>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</si>
  <si>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</si>
  <si>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</si>
  <si>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</si>
  <si>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</si>
  <si>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</si>
  <si>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</si>
  <si>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</si>
  <si>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</si>
  <si>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</si>
  <si>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</si>
  <si>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</si>
  <si>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</si>
  <si>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</si>
  <si>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</si>
  <si>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</si>
  <si>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</si>
  <si>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</si>
  <si>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</si>
  <si>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</si>
  <si>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</si>
  <si>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</si>
  <si>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</si>
  <si>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</si>
  <si>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</si>
  <si>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</si>
  <si>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</si>
  <si>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</si>
  <si>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</si>
  <si>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</si>
  <si>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</si>
  <si>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</si>
  <si>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</si>
  <si>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</si>
  <si>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</si>
  <si>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</si>
  <si>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</si>
  <si>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</si>
  <si>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</si>
  <si>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</si>
  <si>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</si>
  <si>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</si>
  <si>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</si>
  <si>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</si>
  <si>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</si>
  <si>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</si>
  <si>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</si>
  <si>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</si>
  <si>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</si>
  <si>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</si>
  <si>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</si>
  <si>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</si>
  <si>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</si>
  <si>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</si>
  <si>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</si>
  <si>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</si>
  <si>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</si>
  <si>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</si>
  <si>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</si>
  <si>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</si>
  <si>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</si>
  <si>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</si>
  <si>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</si>
  <si>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</si>
  <si>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</si>
  <si>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</si>
  <si>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</si>
  <si>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</si>
  <si>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</si>
  <si>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</si>
  <si>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</si>
  <si>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</si>
  <si>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</si>
  <si>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</si>
  <si>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</si>
  <si>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</si>
  <si>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</si>
  <si>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</si>
  <si>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</si>
  <si>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</si>
  <si>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</si>
  <si>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</si>
  <si>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</si>
  <si>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</si>
  <si>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</si>
  <si>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</si>
  <si>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</si>
  <si>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</si>
  <si>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</si>
  <si>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</si>
  <si>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</si>
  <si>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</si>
  <si>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</si>
  <si>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</si>
  <si>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</si>
  <si>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</si>
  <si>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</si>
  <si>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</si>
  <si>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</si>
  <si>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</si>
  <si>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</si>
  <si>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</si>
  <si>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</si>
  <si>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</si>
  <si>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</si>
  <si>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</si>
  <si>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</si>
  <si>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</si>
  <si>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</si>
  <si>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</si>
  <si>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</si>
  <si>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</si>
  <si>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</si>
  <si>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</si>
  <si>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</si>
  <si>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</si>
  <si>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</si>
  <si>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</si>
  <si>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</si>
  <si>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</si>
  <si>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</si>
  <si>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</si>
  <si>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</si>
  <si>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</si>
  <si>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</si>
  <si>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</si>
  <si>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</si>
  <si>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</si>
  <si>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</si>
  <si>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</si>
  <si>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</si>
  <si>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</si>
  <si>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</si>
  <si>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</si>
  <si>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</si>
  <si>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</si>
  <si>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</si>
  <si>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</si>
  <si>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</si>
  <si>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</si>
  <si>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</si>
  <si>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</si>
  <si>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</si>
  <si>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</si>
  <si>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</si>
  <si>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</si>
  <si>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</si>
  <si>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</si>
  <si>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</si>
  <si>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</si>
  <si>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</si>
  <si>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</si>
  <si>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</si>
  <si>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</si>
  <si>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</si>
  <si>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</si>
  <si>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</si>
  <si>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</si>
  <si>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</si>
  <si>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</si>
  <si>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</si>
  <si>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</si>
  <si>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</si>
  <si>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</si>
  <si>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</si>
  <si>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</si>
  <si>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</si>
  <si>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</si>
  <si>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</si>
  <si>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</si>
  <si>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</si>
  <si>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</si>
  <si>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</si>
  <si>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</si>
  <si>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</si>
  <si>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</si>
  <si>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</si>
  <si>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</si>
  <si>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</si>
  <si>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</si>
  <si>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</si>
  <si>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</si>
  <si>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</si>
  <si>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</si>
  <si>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</si>
  <si>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</si>
  <si>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</si>
  <si>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</si>
  <si>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</si>
  <si>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</si>
  <si>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</si>
  <si>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</si>
  <si>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</si>
  <si>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</si>
  <si>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</si>
  <si>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</si>
  <si>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</si>
  <si>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</si>
  <si>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</si>
  <si>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</si>
  <si>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</si>
  <si>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</si>
  <si>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</si>
  <si>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</si>
  <si>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</si>
  <si>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</si>
  <si>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</si>
  <si>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</si>
  <si>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</si>
  <si>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</si>
  <si>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</si>
  <si>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</si>
  <si>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</si>
  <si>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</si>
  <si>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</si>
  <si>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</si>
  <si>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</si>
  <si>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</si>
  <si>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</si>
  <si>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</si>
  <si>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</si>
  <si>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</si>
  <si>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</si>
  <si>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</si>
  <si>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</si>
  <si>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</si>
  <si>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</si>
  <si>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</si>
  <si>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</si>
  <si>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</si>
  <si>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</si>
  <si>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</si>
  <si>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</si>
  <si>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</si>
  <si>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</si>
  <si>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</si>
  <si>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</si>
  <si>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</si>
  <si>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</si>
  <si>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</si>
  <si>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</si>
  <si>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</si>
  <si>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</si>
  <si>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</si>
  <si>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</si>
  <si>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</si>
  <si>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</si>
  <si>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</si>
  <si>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</si>
  <si>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</si>
  <si>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</si>
  <si>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</si>
  <si>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</si>
  <si>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</si>
  <si>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</si>
  <si>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</si>
  <si>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</si>
  <si>
    <t>Speed: 286.4ns</t>
  </si>
  <si>
    <t>Over Voltage Protection (OVP) testing</t>
  </si>
  <si>
    <t>Current feedback testing - (IFB is input, IFBF is output)</t>
  </si>
  <si>
    <t>IFB(mean) (mV)</t>
  </si>
  <si>
    <t>IFB(peak) (mV)</t>
  </si>
  <si>
    <t>IFBF(mean) (mV)</t>
  </si>
  <si>
    <t>IFBF(peak) (mV)</t>
  </si>
  <si>
    <t>Voltage divider check:</t>
  </si>
  <si>
    <t>Duty cycle</t>
  </si>
  <si>
    <t>VFB(mean) (V)</t>
  </si>
  <si>
    <t>VFBF(mean) (V)</t>
  </si>
  <si>
    <t>VFB(pk-pk amplitude) (V)</t>
  </si>
  <si>
    <t>VFBF(pk-pk amplitude) (V)</t>
  </si>
  <si>
    <t>Filename (output/IFBF)</t>
  </si>
  <si>
    <t>Filename (input/IFB)</t>
  </si>
  <si>
    <t>5_25_O</t>
  </si>
  <si>
    <t>5_25_I</t>
  </si>
  <si>
    <t>C1</t>
  </si>
  <si>
    <t>C2</t>
  </si>
  <si>
    <t>50_25_I2</t>
  </si>
  <si>
    <t>50_25_O</t>
  </si>
  <si>
    <t>5_35_I</t>
  </si>
  <si>
    <t>50_35_I</t>
  </si>
  <si>
    <t>50_35_O</t>
  </si>
  <si>
    <t>5_35_O</t>
  </si>
  <si>
    <t>VDIV_I</t>
  </si>
  <si>
    <t>VDIV_O</t>
  </si>
  <si>
    <t>Current sense input &amp; output values as displayed on Oscilloscope</t>
  </si>
  <si>
    <t>OverVoltage threshold is 6.1, which was found (+detailed in report) by incrementing in 0.1V intervals to the</t>
  </si>
  <si>
    <t>input of the OVP comparator</t>
  </si>
  <si>
    <t xml:space="preserve">From putting a 7v signal through the 5v pin on the pcb, then measuring Vout and capturing the time it takes on a rising </t>
  </si>
  <si>
    <t>edge to go high  (set to 6V)</t>
  </si>
  <si>
    <t>OVP testing results as displayed on Oscilloscope</t>
  </si>
  <si>
    <t>MCU_VFB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</si>
</sst>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5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</cellStyleXfs>
  <cellXfs count="166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0" fontId="0" fillId="8" borderId="67" xfId="5" applyFont="1" applyBorder="1"/>
    <xf numFmtId="0" fontId="11" fillId="14" borderId="0" xfId="11" applyBorder="1"/>
    <xf numFmtId="0" fontId="11" fillId="14" borderId="0" xfId="11"/>
    <xf numFmtId="0" fontId="1" fillId="17" borderId="0" xfId="14" applyBorder="1"/>
    <xf numFmtId="0" fontId="1" fillId="17" borderId="0" xfId="14"/>
    <xf numFmtId="0" fontId="1" fillId="16" borderId="0" xfId="13"/>
    <xf numFmtId="0" fontId="1" fillId="16" borderId="0" xfId="13" applyBorder="1" applyAlignment="1"/>
    <xf numFmtId="0" fontId="1" fillId="15" borderId="66" xfId="12" applyBorder="1"/>
    <xf numFmtId="0" fontId="0" fillId="15" borderId="66" xfId="12" applyFont="1" applyBorder="1"/>
    <xf numFmtId="0" fontId="0" fillId="15" borderId="66" xfId="12" applyNumberFormat="1" applyFont="1" applyBorder="1"/>
    <xf numFmtId="0" fontId="1" fillId="15" borderId="66" xfId="12" applyNumberFormat="1" applyBorder="1"/>
    <xf numFmtId="0" fontId="0" fillId="16" borderId="0" xfId="13" applyFont="1" applyBorder="1" applyAlignment="1">
      <alignment wrapText="1"/>
    </xf>
    <xf numFmtId="0" fontId="9" fillId="15" borderId="66" xfId="12" applyFont="1" applyBorder="1"/>
    <xf numFmtId="0" fontId="9" fillId="16" borderId="0" xfId="13" applyFont="1" applyAlignment="1">
      <alignment wrapText="1"/>
    </xf>
    <xf numFmtId="0" fontId="9" fillId="16" borderId="0" xfId="13" applyFont="1" applyBorder="1" applyAlignment="1">
      <alignment wrapText="1"/>
    </xf>
    <xf numFmtId="0" fontId="1" fillId="15" borderId="0" xfId="12"/>
    <xf numFmtId="0" fontId="0" fillId="0" borderId="0" xfId="0" applyAlignment="1">
      <alignment wrapText="1"/>
    </xf>
    <xf numFmtId="0" fontId="9" fillId="10" borderId="0" xfId="7" applyFont="1" applyBorder="1"/>
    <xf numFmtId="0" fontId="9" fillId="8" borderId="66" xfId="5" applyFont="1"/>
    <xf numFmtId="0" fontId="9" fillId="10" borderId="0" xfId="7" applyFont="1"/>
    <xf numFmtId="9" fontId="9" fillId="8" borderId="66" xfId="5" applyNumberFormat="1" applyFont="1"/>
  </cellXfs>
  <cellStyles count="15">
    <cellStyle name="20% - Accent1" xfId="2" builtinId="30"/>
    <cellStyle name="20% - Accent5" xfId="12" builtinId="46"/>
    <cellStyle name="20% - Accent6" xfId="10" builtinId="50"/>
    <cellStyle name="40% - Accent1" xfId="6" builtinId="31"/>
    <cellStyle name="40% - Accent2" xfId="7" builtinId="35"/>
    <cellStyle name="40% - Accent4" xfId="9" builtinId="43"/>
    <cellStyle name="40% - Accent5" xfId="13" builtinId="47"/>
    <cellStyle name="60% - Accent2" xfId="8" builtinId="36"/>
    <cellStyle name="60% - Accent5" xfId="14" builtinId="48"/>
    <cellStyle name="Calculation" xfId="4" builtinId="22"/>
    <cellStyle name="Check Cell" xfId="1" builtinId="23"/>
    <cellStyle name="Neutral" xfId="11" builtinId="28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13857</xdr:colOff>
      <xdr:row>31</xdr:row>
      <xdr:rowOff>2</xdr:rowOff>
    </xdr:from>
    <xdr:to>
      <xdr:col>21</xdr:col>
      <xdr:colOff>346364</xdr:colOff>
      <xdr:row>43</xdr:row>
      <xdr:rowOff>102704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7857" y="5403275"/>
          <a:ext cx="3990107" cy="2264011"/>
        </a:xfrm>
        <a:prstGeom prst="rect">
          <a:avLst/>
        </a:prstGeom>
      </xdr:spPr>
    </xdr:pic>
    <xdr:clientData/>
  </xdr:twoCellAnchor>
  <xdr:twoCellAnchor editAs="oneCell">
    <xdr:from>
      <xdr:col>21</xdr:col>
      <xdr:colOff>472248</xdr:colOff>
      <xdr:row>31</xdr:row>
      <xdr:rowOff>100707</xdr:rowOff>
    </xdr:from>
    <xdr:to>
      <xdr:col>28</xdr:col>
      <xdr:colOff>259458</xdr:colOff>
      <xdr:row>44</xdr:row>
      <xdr:rowOff>59957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05022" y="5688707"/>
          <a:ext cx="4031468" cy="2302605"/>
        </a:xfrm>
        <a:prstGeom prst="rect">
          <a:avLst/>
        </a:prstGeom>
      </xdr:spPr>
    </xdr:pic>
    <xdr:clientData/>
  </xdr:twoCellAnchor>
  <xdr:twoCellAnchor editAs="oneCell">
    <xdr:from>
      <xdr:col>21</xdr:col>
      <xdr:colOff>367555</xdr:colOff>
      <xdr:row>43</xdr:row>
      <xdr:rowOff>62754</xdr:rowOff>
    </xdr:from>
    <xdr:to>
      <xdr:col>28</xdr:col>
      <xdr:colOff>332509</xdr:colOff>
      <xdr:row>56</xdr:row>
      <xdr:rowOff>103650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69155" y="7627336"/>
          <a:ext cx="4232154" cy="2401364"/>
        </a:xfrm>
        <a:prstGeom prst="rect">
          <a:avLst/>
        </a:prstGeom>
      </xdr:spPr>
    </xdr:pic>
    <xdr:clientData/>
  </xdr:twoCellAnchor>
  <xdr:twoCellAnchor editAs="oneCell">
    <xdr:from>
      <xdr:col>14</xdr:col>
      <xdr:colOff>428677</xdr:colOff>
      <xdr:row>43</xdr:row>
      <xdr:rowOff>161363</xdr:rowOff>
    </xdr:from>
    <xdr:to>
      <xdr:col>21</xdr:col>
      <xdr:colOff>358588</xdr:colOff>
      <xdr:row>57</xdr:row>
      <xdr:rowOff>6421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963077" y="7691716"/>
          <a:ext cx="4197111" cy="237109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55433</xdr:rowOff>
    </xdr:from>
    <xdr:to>
      <xdr:col>21</xdr:col>
      <xdr:colOff>461044</xdr:colOff>
      <xdr:row>66</xdr:row>
      <xdr:rowOff>322133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2AC9D6A-FF01-2638-2013-51024D0218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0" y="10681869"/>
          <a:ext cx="4118644" cy="226175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415650</xdr:rowOff>
    </xdr:from>
    <xdr:to>
      <xdr:col>21</xdr:col>
      <xdr:colOff>458551</xdr:colOff>
      <xdr:row>73</xdr:row>
      <xdr:rowOff>124704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279119-940B-3080-557F-91F9B7126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0" y="13037141"/>
          <a:ext cx="4116151" cy="2272145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60</xdr:row>
      <xdr:rowOff>55433</xdr:rowOff>
    </xdr:from>
    <xdr:to>
      <xdr:col>28</xdr:col>
      <xdr:colOff>422084</xdr:colOff>
      <xdr:row>66</xdr:row>
      <xdr:rowOff>346378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F311C41-6F3D-F739-94B3-9028510B5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411200" y="10681869"/>
          <a:ext cx="4079684" cy="2286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443358</xdr:rowOff>
    </xdr:from>
    <xdr:to>
      <xdr:col>28</xdr:col>
      <xdr:colOff>443345</xdr:colOff>
      <xdr:row>74</xdr:row>
      <xdr:rowOff>4998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AAE0149-09E0-4295-9A2E-053E48C56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411200" y="13064849"/>
          <a:ext cx="4100945" cy="2297913"/>
        </a:xfrm>
        <a:prstGeom prst="rect">
          <a:avLst/>
        </a:prstGeom>
      </xdr:spPr>
    </xdr:pic>
    <xdr:clientData/>
  </xdr:twoCellAnchor>
  <xdr:twoCellAnchor editAs="oneCell">
    <xdr:from>
      <xdr:col>29</xdr:col>
      <xdr:colOff>41564</xdr:colOff>
      <xdr:row>63</xdr:row>
      <xdr:rowOff>249381</xdr:rowOff>
    </xdr:from>
    <xdr:to>
      <xdr:col>36</xdr:col>
      <xdr:colOff>512619</xdr:colOff>
      <xdr:row>67</xdr:row>
      <xdr:rowOff>429636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3397F-D6DE-5A90-7A9B-430A6D8DF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719964" y="11416145"/>
          <a:ext cx="4738255" cy="2369273"/>
        </a:xfrm>
        <a:prstGeom prst="rect">
          <a:avLst/>
        </a:prstGeom>
      </xdr:spPr>
    </xdr:pic>
    <xdr:clientData/>
  </xdr:twoCellAnchor>
  <xdr:twoCellAnchor editAs="oneCell">
    <xdr:from>
      <xdr:col>15</xdr:col>
      <xdr:colOff>2</xdr:colOff>
      <xdr:row>78</xdr:row>
      <xdr:rowOff>167642</xdr:rowOff>
    </xdr:from>
    <xdr:to>
      <xdr:col>21</xdr:col>
      <xdr:colOff>526473</xdr:colOff>
      <xdr:row>92</xdr:row>
      <xdr:rowOff>27584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FE9A0F2-AC83-3E70-C6CB-52B04BEE3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144002" y="16443962"/>
          <a:ext cx="4184071" cy="2420262"/>
        </a:xfrm>
        <a:prstGeom prst="rect">
          <a:avLst/>
        </a:prstGeom>
      </xdr:spPr>
    </xdr:pic>
    <xdr:clientData/>
  </xdr:twoCellAnchor>
  <xdr:twoCellAnchor editAs="oneCell">
    <xdr:from>
      <xdr:col>15</xdr:col>
      <xdr:colOff>13854</xdr:colOff>
      <xdr:row>93</xdr:row>
      <xdr:rowOff>38793</xdr:rowOff>
    </xdr:from>
    <xdr:to>
      <xdr:col>21</xdr:col>
      <xdr:colOff>538119</xdr:colOff>
      <xdr:row>106</xdr:row>
      <xdr:rowOff>80357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B5EAF27-7FAF-4190-A59B-190FC83C9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157854" y="19058313"/>
          <a:ext cx="4181865" cy="2419004"/>
        </a:xfrm>
        <a:prstGeom prst="rect">
          <a:avLst/>
        </a:prstGeom>
      </xdr:spPr>
    </xdr:pic>
    <xdr:clientData/>
  </xdr:twoCellAnchor>
  <xdr:twoCellAnchor editAs="oneCell">
    <xdr:from>
      <xdr:col>22</xdr:col>
      <xdr:colOff>136238</xdr:colOff>
      <xdr:row>86</xdr:row>
      <xdr:rowOff>11611</xdr:rowOff>
    </xdr:from>
    <xdr:to>
      <xdr:col>28</xdr:col>
      <xdr:colOff>522761</xdr:colOff>
      <xdr:row>98</xdr:row>
      <xdr:rowOff>66039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1FD7901-490C-9F8C-EDB2-7F3626BAC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547438" y="17750971"/>
          <a:ext cx="4044123" cy="22489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36" zoomScale="111" zoomScaleNormal="130" workbookViewId="0">
      <selection activeCell="B129" sqref="B129"/>
    </sheetView>
  </sheetViews>
  <sheetFormatPr defaultColWidth="12" defaultRowHeight="14.4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>
      <c r="A1" s="1" t="s">
        <v>58</v>
      </c>
    </row>
    <row r="3" spans="1:3" ht="18">
      <c r="A3" s="2" t="s">
        <v>137</v>
      </c>
    </row>
    <row r="4" spans="1:3" ht="15" thickBot="1"/>
    <row r="5" spans="1:3" ht="15.6" thickTop="1" thickBot="1">
      <c r="A5" s="3" t="s">
        <v>0</v>
      </c>
      <c r="B5" s="3" t="s">
        <v>1</v>
      </c>
      <c r="C5" s="3" t="s">
        <v>2</v>
      </c>
    </row>
    <row r="6" spans="1:3" ht="15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5" thickBot="1">
      <c r="A11" s="10" t="s">
        <v>5</v>
      </c>
      <c r="B11" s="11">
        <v>100</v>
      </c>
      <c r="C11" s="12" t="s">
        <v>6</v>
      </c>
    </row>
    <row r="12" spans="1:3" ht="16.2" thickTop="1">
      <c r="A12" s="13"/>
    </row>
    <row r="14" spans="1:3" ht="18">
      <c r="A14" s="2" t="s">
        <v>55</v>
      </c>
    </row>
    <row r="15" spans="1:3" ht="15" thickBot="1"/>
    <row r="16" spans="1:3" ht="15.6" thickTop="1" thickBot="1">
      <c r="A16" s="3" t="s">
        <v>0</v>
      </c>
      <c r="B16" s="3" t="s">
        <v>1</v>
      </c>
      <c r="C16" s="3" t="s">
        <v>7</v>
      </c>
    </row>
    <row r="17" spans="1:3" ht="15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5" thickBot="1">
      <c r="A25" s="85" t="s">
        <v>101</v>
      </c>
      <c r="B25" s="94">
        <v>47</v>
      </c>
      <c r="C25" s="19" t="s">
        <v>8</v>
      </c>
    </row>
    <row r="26" spans="1:3" ht="15" thickTop="1"/>
    <row r="28" spans="1:3" ht="18">
      <c r="A28" s="2" t="s">
        <v>9</v>
      </c>
    </row>
    <row r="29" spans="1:3" ht="15" thickBot="1"/>
    <row r="30" spans="1:3" ht="15.6" thickTop="1" thickBot="1">
      <c r="A30" s="3" t="s">
        <v>0</v>
      </c>
      <c r="B30" s="3" t="s">
        <v>1</v>
      </c>
      <c r="C30" s="3" t="s">
        <v>7</v>
      </c>
    </row>
    <row r="31" spans="1:3" ht="15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5" thickBot="1">
      <c r="A35" s="10" t="s">
        <v>12</v>
      </c>
      <c r="B35" s="94">
        <v>560</v>
      </c>
      <c r="C35" s="19" t="s">
        <v>107</v>
      </c>
    </row>
    <row r="36" spans="1:11" ht="15" thickTop="1"/>
    <row r="38" spans="1:11" ht="18">
      <c r="A38" s="2" t="s">
        <v>13</v>
      </c>
    </row>
    <row r="39" spans="1:11" ht="15" thickBot="1"/>
    <row r="40" spans="1:11" ht="15.6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>
      <c r="B58" s="32"/>
      <c r="C58" s="33"/>
    </row>
    <row r="59" spans="1:14">
      <c r="B59" s="32"/>
      <c r="C59" s="33"/>
    </row>
    <row r="60" spans="1:14" ht="18">
      <c r="A60" s="2" t="s">
        <v>19</v>
      </c>
    </row>
    <row r="62" spans="1:14" ht="1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/>
    <row r="79" spans="1:12" ht="18">
      <c r="A79" s="2" t="s">
        <v>22</v>
      </c>
    </row>
    <row r="80" spans="1:12" ht="15" thickBot="1"/>
    <row r="81" spans="1:3" ht="15.6" thickTop="1" thickBot="1">
      <c r="A81" s="3" t="s">
        <v>0</v>
      </c>
      <c r="B81" s="3" t="s">
        <v>1</v>
      </c>
      <c r="C81" s="3" t="s">
        <v>7</v>
      </c>
    </row>
    <row r="82" spans="1:3" ht="15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.6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190</v>
      </c>
    </row>
    <row r="90" spans="1:3">
      <c r="A90" s="52" t="s">
        <v>130</v>
      </c>
      <c r="B90" s="16">
        <v>150</v>
      </c>
      <c r="C90" s="18" t="s">
        <v>191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5" thickBot="1">
      <c r="A99" s="10" t="s">
        <v>31</v>
      </c>
      <c r="B99" s="109">
        <v>300</v>
      </c>
      <c r="C99" s="19"/>
    </row>
    <row r="100" spans="1:11" ht="15" thickTop="1"/>
    <row r="102" spans="1:11" ht="18">
      <c r="A102" s="2" t="s">
        <v>32</v>
      </c>
    </row>
    <row r="103" spans="1:11" ht="15" thickBot="1"/>
    <row r="104" spans="1:11" ht="15.6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/>
    <row r="111" spans="1:11" ht="18">
      <c r="A111" s="2" t="s">
        <v>164</v>
      </c>
    </row>
    <row r="112" spans="1:11" ht="15" thickBot="1"/>
    <row r="113" spans="1:8" ht="15.6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/>
    <row r="120" spans="1:8">
      <c r="A120" s="129" t="s">
        <v>212</v>
      </c>
    </row>
    <row r="121" spans="1:8">
      <c r="A121" s="130" t="s">
        <v>206</v>
      </c>
      <c r="B121" t="s">
        <v>203</v>
      </c>
    </row>
    <row r="122" spans="1:8">
      <c r="A122" s="130" t="s">
        <v>205</v>
      </c>
    </row>
    <row r="123" spans="1:8">
      <c r="A123" s="130" t="s">
        <v>207</v>
      </c>
      <c r="B123" t="s">
        <v>204</v>
      </c>
    </row>
    <row r="124" spans="1:8">
      <c r="A124" s="130" t="s">
        <v>219</v>
      </c>
      <c r="B124" t="s">
        <v>208</v>
      </c>
    </row>
    <row r="125" spans="1:8">
      <c r="A125" s="129" t="s">
        <v>213</v>
      </c>
    </row>
    <row r="126" spans="1:8">
      <c r="A126" s="130" t="s">
        <v>209</v>
      </c>
      <c r="B126" t="s">
        <v>211</v>
      </c>
    </row>
    <row r="127" spans="1:8">
      <c r="A127" s="130" t="s">
        <v>210</v>
      </c>
    </row>
    <row r="128" spans="1:8">
      <c r="A128" s="130" t="s">
        <v>214</v>
      </c>
      <c r="B128" t="s">
        <v>215</v>
      </c>
    </row>
    <row r="129" spans="1:2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/>
  <cols>
    <col min="1" max="1" width="24.44140625" customWidth="1"/>
    <col min="2" max="9" width="12.88671875" customWidth="1"/>
  </cols>
  <sheetData>
    <row r="1" spans="1:5" ht="21">
      <c r="A1" s="1" t="s">
        <v>90</v>
      </c>
    </row>
    <row r="3" spans="1:5" ht="18">
      <c r="A3" s="2" t="s">
        <v>61</v>
      </c>
    </row>
    <row r="4" spans="1:5" ht="15" thickBot="1"/>
    <row r="5" spans="1:5" ht="15.6" thickTop="1" thickBot="1">
      <c r="A5" s="3" t="s">
        <v>0</v>
      </c>
      <c r="B5" s="3" t="s">
        <v>1</v>
      </c>
      <c r="C5" s="3" t="s">
        <v>2</v>
      </c>
      <c r="E5" s="73"/>
    </row>
    <row r="6" spans="1:5" ht="15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5" thickBot="1">
      <c r="A11" s="10" t="s">
        <v>5</v>
      </c>
      <c r="B11" s="11">
        <f>SS_Analysis!B11</f>
        <v>100</v>
      </c>
      <c r="C11" s="12" t="s">
        <v>6</v>
      </c>
    </row>
    <row r="12" spans="1:5" ht="16.2" thickTop="1">
      <c r="A12" s="13"/>
    </row>
    <row r="14" spans="1:5" ht="18">
      <c r="A14" s="2" t="s">
        <v>64</v>
      </c>
    </row>
    <row r="15" spans="1:5" ht="18.600000000000001" thickBot="1">
      <c r="A15" s="2"/>
    </row>
    <row r="16" spans="1:5" ht="15.6" thickTop="1" thickBot="1">
      <c r="A16" s="3" t="s">
        <v>0</v>
      </c>
      <c r="B16" s="3" t="s">
        <v>1</v>
      </c>
      <c r="C16" s="3" t="s">
        <v>2</v>
      </c>
    </row>
    <row r="17" spans="1:3" ht="15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5" thickBot="1">
      <c r="A27" s="68" t="s">
        <v>82</v>
      </c>
      <c r="B27" s="69">
        <v>0.65</v>
      </c>
      <c r="C27" s="70"/>
    </row>
    <row r="28" spans="1:3" ht="15" thickTop="1"/>
    <row r="30" spans="1:3" ht="18">
      <c r="A30" s="2" t="s">
        <v>83</v>
      </c>
    </row>
    <row r="31" spans="1:3" ht="15" thickBot="1"/>
    <row r="32" spans="1:3" ht="15.6" thickTop="1" thickBot="1">
      <c r="A32" s="3" t="s">
        <v>0</v>
      </c>
      <c r="B32" s="3" t="s">
        <v>1</v>
      </c>
      <c r="C32" s="3" t="s">
        <v>7</v>
      </c>
    </row>
    <row r="33" spans="1:7" ht="15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193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>
      <c r="A46" s="74" t="s">
        <v>192</v>
      </c>
      <c r="B46" s="77">
        <f>B9/(B40*B39)</f>
        <v>2.0386837275999632</v>
      </c>
      <c r="C46" s="76" t="s">
        <v>201</v>
      </c>
    </row>
    <row r="47" spans="1:7">
      <c r="A47" s="128" t="s">
        <v>202</v>
      </c>
      <c r="B47" s="114">
        <f>B34*B40*B39/B27</f>
        <v>24.166097335306102</v>
      </c>
      <c r="C47" s="127" t="s">
        <v>70</v>
      </c>
    </row>
    <row r="49" spans="1:3" ht="18">
      <c r="A49" s="2" t="s">
        <v>97</v>
      </c>
    </row>
    <row r="50" spans="1:3" ht="15" thickBot="1"/>
    <row r="51" spans="1:3" ht="15.6" thickTop="1" thickBot="1">
      <c r="A51" s="3" t="s">
        <v>0</v>
      </c>
      <c r="B51" s="3" t="s">
        <v>1</v>
      </c>
      <c r="C51" s="3" t="s">
        <v>7</v>
      </c>
    </row>
    <row r="52" spans="1:3" ht="15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1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5" thickBot="1">
      <c r="A55" s="82" t="s">
        <v>99</v>
      </c>
      <c r="B55" s="86">
        <v>273</v>
      </c>
      <c r="C55" s="87" t="s">
        <v>100</v>
      </c>
    </row>
    <row r="56" spans="1:3" ht="1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A2:AD84"/>
  <sheetViews>
    <sheetView tabSelected="1" zoomScale="55" zoomScaleNormal="55" workbookViewId="0">
      <selection activeCell="B24" sqref="B24"/>
    </sheetView>
  </sheetViews>
  <sheetFormatPr defaultRowHeight="14.4"/>
  <sheetData>
    <row r="2" spans="2:25">
      <c r="B2" s="136" t="s">
        <v>220</v>
      </c>
      <c r="C2" s="136"/>
      <c r="D2" s="136"/>
      <c r="E2" s="136"/>
    </row>
    <row r="3" spans="2:25">
      <c r="B3" t="s">
        <v>221</v>
      </c>
      <c r="D3" t="s">
        <v>222</v>
      </c>
      <c r="G3" t="s">
        <v>223</v>
      </c>
      <c r="K3" t="s">
        <v>224</v>
      </c>
    </row>
    <row r="4" spans="2: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>
      <c r="B7">
        <v>20</v>
      </c>
      <c r="D7" s="129">
        <v>22</v>
      </c>
      <c r="E7" t="s">
        <v>225</v>
      </c>
      <c r="K7" t="s">
        <v>232</v>
      </c>
    </row>
    <row r="8" spans="2:25">
      <c r="B8">
        <v>25</v>
      </c>
      <c r="C8" t="s">
        <v>225</v>
      </c>
      <c r="D8">
        <v>27</v>
      </c>
      <c r="G8" t="s">
        <v>233</v>
      </c>
    </row>
    <row r="9" spans="2: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>
      <c r="B11">
        <v>40</v>
      </c>
      <c r="C11" t="s">
        <v>225</v>
      </c>
      <c r="D11">
        <v>39</v>
      </c>
    </row>
    <row r="12" spans="2:25">
      <c r="B12">
        <v>45</v>
      </c>
      <c r="C12" t="s">
        <v>225</v>
      </c>
      <c r="D12">
        <v>47</v>
      </c>
    </row>
    <row r="13" spans="2:25">
      <c r="B13">
        <v>50</v>
      </c>
      <c r="C13" t="s">
        <v>225</v>
      </c>
      <c r="D13" s="129">
        <v>47</v>
      </c>
      <c r="E13" t="s">
        <v>225</v>
      </c>
    </row>
    <row r="15" spans="2: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>
      <c r="B22" s="138" t="s">
        <v>260</v>
      </c>
      <c r="C22" s="138"/>
      <c r="D22" s="138"/>
      <c r="E22" s="138"/>
      <c r="F22" s="138"/>
      <c r="G22" s="138"/>
    </row>
    <row r="24" spans="2:30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8" spans="2:30">
      <c r="B28" s="141" t="s">
        <v>314</v>
      </c>
      <c r="C28" s="144">
        <f>C27/2</f>
        <v>1.865</v>
      </c>
      <c r="D28" s="144">
        <f>D27/2</f>
        <v>1.9750000000000001</v>
      </c>
      <c r="E28" s="144">
        <f>E27/2</f>
        <v>2.0550000000000002</v>
      </c>
      <c r="G28" s="141" t="s">
        <v>314</v>
      </c>
      <c r="H28" s="144">
        <f t="shared" ref="F28:O28" si="0">H27/2</f>
        <v>2.0449999999999999</v>
      </c>
      <c r="I28" s="144">
        <f t="shared" si="0"/>
        <v>2.11</v>
      </c>
      <c r="J28" s="144">
        <f t="shared" si="0"/>
        <v>2.15</v>
      </c>
      <c r="L28" s="141" t="s">
        <v>314</v>
      </c>
      <c r="M28" s="144">
        <f t="shared" si="0"/>
        <v>2.14</v>
      </c>
      <c r="N28" s="144">
        <f t="shared" si="0"/>
        <v>2.19</v>
      </c>
      <c r="O28" s="144">
        <f t="shared" si="0"/>
        <v>2.2250000000000001</v>
      </c>
      <c r="Q28" s="141" t="s">
        <v>314</v>
      </c>
      <c r="R28" s="144">
        <f t="shared" ref="R28" si="1">R27/2</f>
        <v>2.19</v>
      </c>
      <c r="S28" s="144">
        <f t="shared" ref="S28" si="2">S27/2</f>
        <v>2.2250000000000001</v>
      </c>
      <c r="T28" s="144">
        <f t="shared" ref="T28" si="3">T27/2</f>
        <v>2.2549999999999999</v>
      </c>
      <c r="V28" s="141" t="s">
        <v>314</v>
      </c>
      <c r="W28" s="144">
        <f t="shared" ref="W28" si="4">W27/2</f>
        <v>2.21</v>
      </c>
      <c r="X28" s="144">
        <f t="shared" ref="X28" si="5">X27/2</f>
        <v>2.2450000000000001</v>
      </c>
      <c r="Y28" s="144">
        <f t="shared" ref="Y28" si="6">Y27/2</f>
        <v>2.2650000000000001</v>
      </c>
      <c r="AA28" s="141" t="s">
        <v>314</v>
      </c>
      <c r="AB28" s="144">
        <f t="shared" ref="AB28" si="7">AB27/2</f>
        <v>2.2349999999999999</v>
      </c>
      <c r="AC28" s="144">
        <f t="shared" ref="AC28" si="8">AC27/2</f>
        <v>2.25</v>
      </c>
      <c r="AD28" s="144">
        <f t="shared" ref="AD28" si="9">AD27/2</f>
        <v>2.2749999999999999</v>
      </c>
    </row>
    <row r="30" spans="2:30">
      <c r="B30" s="142" t="s">
        <v>268</v>
      </c>
      <c r="C30" s="138"/>
      <c r="D30" s="138"/>
      <c r="E30" s="138"/>
      <c r="F30" s="138"/>
      <c r="G30" s="138"/>
      <c r="P30" s="138" t="s">
        <v>280</v>
      </c>
      <c r="Q30" s="138"/>
      <c r="R30" s="138"/>
      <c r="S30" s="138"/>
      <c r="T30" s="138"/>
      <c r="U30" s="138"/>
      <c r="V30" s="138"/>
      <c r="W30" s="138"/>
      <c r="X30" s="138"/>
      <c r="Y30" s="138"/>
    </row>
    <row r="32" spans="2:30">
      <c r="B32" s="142" t="s">
        <v>261</v>
      </c>
      <c r="C32" s="138"/>
      <c r="D32" s="138"/>
      <c r="F32" s="138" t="s">
        <v>265</v>
      </c>
      <c r="G32" s="138"/>
      <c r="H32" s="138"/>
      <c r="J32" t="s">
        <v>272</v>
      </c>
    </row>
    <row r="33" spans="2:10">
      <c r="B33" s="137" t="s">
        <v>248</v>
      </c>
      <c r="C33" s="143">
        <v>2.5</v>
      </c>
      <c r="D33" s="143">
        <v>3.5</v>
      </c>
      <c r="F33" s="137" t="s">
        <v>248</v>
      </c>
      <c r="G33" s="143">
        <v>2.5</v>
      </c>
      <c r="H33" s="143">
        <v>3.5</v>
      </c>
      <c r="J33" t="s">
        <v>269</v>
      </c>
    </row>
    <row r="34" spans="2:10">
      <c r="B34" s="162" t="s">
        <v>249</v>
      </c>
      <c r="C34" s="163" t="s">
        <v>275</v>
      </c>
      <c r="D34" s="163" t="s">
        <v>278</v>
      </c>
      <c r="F34" s="164" t="s">
        <v>249</v>
      </c>
      <c r="G34" s="163" t="s">
        <v>277</v>
      </c>
      <c r="H34" s="163" t="s">
        <v>279</v>
      </c>
      <c r="J34" t="s">
        <v>274</v>
      </c>
    </row>
    <row r="35" spans="2:10">
      <c r="B35" s="137" t="s">
        <v>226</v>
      </c>
      <c r="C35" s="144">
        <v>5.04</v>
      </c>
      <c r="D35" s="144">
        <v>5.05</v>
      </c>
      <c r="F35" s="137" t="s">
        <v>226</v>
      </c>
      <c r="G35" s="144">
        <v>4.97</v>
      </c>
      <c r="H35" s="144">
        <v>4.9800000000000004</v>
      </c>
      <c r="J35" t="s">
        <v>273</v>
      </c>
    </row>
    <row r="36" spans="2:10">
      <c r="B36" s="162" t="s">
        <v>266</v>
      </c>
      <c r="C36" s="165">
        <f>(C38/C37)</f>
        <v>0.68319999999999992</v>
      </c>
      <c r="D36" s="165">
        <f>D38/D37</f>
        <v>0.78988326848249024</v>
      </c>
      <c r="F36" s="162" t="s">
        <v>266</v>
      </c>
      <c r="G36" s="165">
        <f>G38/G37</f>
        <v>0.86</v>
      </c>
      <c r="H36" s="165">
        <f>H38/H37</f>
        <v>0.86</v>
      </c>
    </row>
    <row r="37" spans="2:10">
      <c r="B37" s="141" t="s">
        <v>267</v>
      </c>
      <c r="C37" s="144">
        <v>6.25</v>
      </c>
      <c r="D37" s="144">
        <v>5.14</v>
      </c>
      <c r="F37" s="141" t="s">
        <v>267</v>
      </c>
      <c r="G37" s="144">
        <v>0.5</v>
      </c>
      <c r="H37" s="144">
        <v>0.5</v>
      </c>
      <c r="J37" t="s">
        <v>270</v>
      </c>
    </row>
    <row r="38" spans="2:10">
      <c r="B38" s="141" t="s">
        <v>15</v>
      </c>
      <c r="C38" s="144">
        <v>4.2699999999999996</v>
      </c>
      <c r="D38" s="144">
        <v>4.0599999999999996</v>
      </c>
      <c r="F38" s="141" t="s">
        <v>15</v>
      </c>
      <c r="G38" s="144">
        <v>0.43</v>
      </c>
      <c r="H38" s="144">
        <v>0.43</v>
      </c>
      <c r="J38" t="s">
        <v>271</v>
      </c>
    </row>
    <row r="39" spans="2:10">
      <c r="B39" s="141" t="s">
        <v>276</v>
      </c>
      <c r="C39" s="145">
        <v>3.9</v>
      </c>
      <c r="D39" s="145">
        <v>4.04</v>
      </c>
      <c r="F39" s="141" t="s">
        <v>276</v>
      </c>
      <c r="G39" s="145">
        <v>2.88</v>
      </c>
      <c r="H39" s="145">
        <v>2.56</v>
      </c>
    </row>
    <row r="54" spans="1:22">
      <c r="A54" t="s">
        <v>299</v>
      </c>
    </row>
    <row r="56" spans="1:22">
      <c r="A56" t="s">
        <v>298</v>
      </c>
    </row>
    <row r="59" spans="1:22">
      <c r="B59" s="149" t="s">
        <v>283</v>
      </c>
      <c r="C59" s="149"/>
      <c r="D59" s="149"/>
      <c r="E59" s="149"/>
      <c r="F59" s="149"/>
      <c r="J59" s="149" t="s">
        <v>288</v>
      </c>
      <c r="K59" s="149"/>
      <c r="P59" s="149" t="s">
        <v>308</v>
      </c>
      <c r="Q59" s="149"/>
      <c r="R59" s="149"/>
      <c r="S59" s="149"/>
      <c r="T59" s="149"/>
      <c r="U59" s="149"/>
      <c r="V59" s="149"/>
    </row>
    <row r="61" spans="1:22">
      <c r="B61" s="148" t="s">
        <v>261</v>
      </c>
      <c r="C61" s="149"/>
      <c r="D61" s="149"/>
      <c r="F61" s="148" t="s">
        <v>265</v>
      </c>
      <c r="G61" s="149"/>
      <c r="H61" s="149"/>
      <c r="J61" s="149" t="s">
        <v>261</v>
      </c>
      <c r="K61" s="149"/>
    </row>
    <row r="62" spans="1:22">
      <c r="B62" s="150" t="s">
        <v>248</v>
      </c>
      <c r="C62" s="143">
        <v>2.5</v>
      </c>
      <c r="D62" s="143">
        <v>3.5</v>
      </c>
      <c r="F62" s="150" t="s">
        <v>248</v>
      </c>
      <c r="G62" s="143">
        <v>2.5</v>
      </c>
      <c r="H62" s="143">
        <v>3.5</v>
      </c>
      <c r="J62" s="150" t="s">
        <v>248</v>
      </c>
      <c r="K62" s="160">
        <v>2.5</v>
      </c>
    </row>
    <row r="63" spans="1:22">
      <c r="B63" s="151" t="s">
        <v>249</v>
      </c>
      <c r="C63" s="152">
        <v>0.5</v>
      </c>
      <c r="D63" s="152">
        <v>0.3</v>
      </c>
      <c r="F63" s="151" t="s">
        <v>249</v>
      </c>
      <c r="G63" s="152">
        <v>0.5</v>
      </c>
      <c r="H63" s="152">
        <v>0.3</v>
      </c>
      <c r="J63" s="150" t="s">
        <v>289</v>
      </c>
      <c r="K63" s="160">
        <v>0.5</v>
      </c>
    </row>
    <row r="64" spans="1:22" ht="28.8">
      <c r="B64" s="158" t="s">
        <v>284</v>
      </c>
      <c r="C64" s="157">
        <v>73</v>
      </c>
      <c r="D64" s="157">
        <v>35.700000000000003</v>
      </c>
      <c r="F64" s="158" t="s">
        <v>284</v>
      </c>
      <c r="G64" s="157">
        <v>8.8000000000000007</v>
      </c>
      <c r="H64" s="157">
        <v>3.9</v>
      </c>
      <c r="J64" s="158" t="s">
        <v>290</v>
      </c>
      <c r="K64" s="157">
        <v>1.85</v>
      </c>
    </row>
    <row r="65" spans="2:20" ht="57.6">
      <c r="B65" s="156" t="s">
        <v>285</v>
      </c>
      <c r="C65" s="154">
        <v>612</v>
      </c>
      <c r="D65" s="154">
        <v>592.9</v>
      </c>
      <c r="F65" s="156" t="s">
        <v>285</v>
      </c>
      <c r="G65" s="154">
        <v>250</v>
      </c>
      <c r="H65" s="155">
        <v>231.3</v>
      </c>
      <c r="J65" s="156" t="s">
        <v>292</v>
      </c>
      <c r="K65" s="154">
        <v>0.42</v>
      </c>
    </row>
    <row r="66" spans="2:20" ht="28.8">
      <c r="B66" s="159" t="s">
        <v>286</v>
      </c>
      <c r="C66" s="157">
        <v>277.89999999999998</v>
      </c>
      <c r="D66" s="157">
        <v>131.4</v>
      </c>
      <c r="F66" s="159" t="s">
        <v>286</v>
      </c>
      <c r="G66" s="157">
        <v>39.6</v>
      </c>
      <c r="H66" s="157">
        <v>19.8</v>
      </c>
      <c r="J66" s="159" t="s">
        <v>291</v>
      </c>
      <c r="K66" s="157">
        <v>3.66</v>
      </c>
    </row>
    <row r="67" spans="2:20" ht="57.6">
      <c r="B67" s="156" t="s">
        <v>287</v>
      </c>
      <c r="C67" s="153">
        <v>749.7</v>
      </c>
      <c r="D67" s="152">
        <v>558.6</v>
      </c>
      <c r="F67" s="156" t="s">
        <v>287</v>
      </c>
      <c r="G67" s="153">
        <v>211.7</v>
      </c>
      <c r="H67" s="152">
        <v>181.8</v>
      </c>
      <c r="J67" s="156" t="s">
        <v>293</v>
      </c>
      <c r="K67" s="153">
        <v>2.99</v>
      </c>
    </row>
    <row r="68" spans="2:20" ht="43.2">
      <c r="B68" s="161" t="s">
        <v>295</v>
      </c>
      <c r="C68" s="161" t="s">
        <v>297</v>
      </c>
      <c r="D68" s="161" t="s">
        <v>302</v>
      </c>
      <c r="E68" s="161"/>
      <c r="F68" s="161"/>
      <c r="G68" s="161" t="s">
        <v>300</v>
      </c>
      <c r="H68" s="161" t="s">
        <v>303</v>
      </c>
      <c r="I68" s="161"/>
      <c r="J68" s="161"/>
      <c r="K68" s="161" t="s">
        <v>306</v>
      </c>
    </row>
    <row r="69" spans="2:20" ht="43.2">
      <c r="B69" s="161" t="s">
        <v>294</v>
      </c>
      <c r="C69" s="161" t="s">
        <v>296</v>
      </c>
      <c r="D69" s="161" t="s">
        <v>305</v>
      </c>
      <c r="E69" s="161"/>
      <c r="F69" s="161"/>
      <c r="G69" s="161" t="s">
        <v>301</v>
      </c>
      <c r="H69" s="161" t="s">
        <v>304</v>
      </c>
      <c r="I69" s="161"/>
      <c r="J69" s="161"/>
      <c r="K69" s="161" t="s">
        <v>307</v>
      </c>
    </row>
    <row r="77" spans="2:20">
      <c r="B77" s="146" t="s">
        <v>282</v>
      </c>
      <c r="C77" s="147"/>
      <c r="D77" s="147"/>
      <c r="E77" s="147"/>
      <c r="P77" s="147" t="s">
        <v>313</v>
      </c>
      <c r="Q77" s="147"/>
      <c r="R77" s="147"/>
      <c r="S77" s="147"/>
      <c r="T77" s="147"/>
    </row>
    <row r="79" spans="2:20">
      <c r="B79" s="146" t="s">
        <v>281</v>
      </c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</row>
    <row r="80" spans="2:20">
      <c r="B80" s="147" t="s">
        <v>311</v>
      </c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</row>
    <row r="81" spans="2:14">
      <c r="B81" s="146" t="s">
        <v>312</v>
      </c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</row>
    <row r="82" spans="2:14"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</row>
    <row r="83" spans="2:14">
      <c r="B83" s="146" t="s">
        <v>309</v>
      </c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</row>
    <row r="84" spans="2:14">
      <c r="B84" s="147" t="s">
        <v>310</v>
      </c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cp:lastPrinted>2026-10-01T22:47:06Z</cp:lastPrinted>
  <dcterms:created xsi:type="dcterms:W3CDTF">2025-12-20T08:56:10Z</dcterms:created>
  <dcterms:modified xsi:type="dcterms:W3CDTF">2026-10-02T02:30:40Z</dcterms:modified>
</cp:coreProperties>
</file>