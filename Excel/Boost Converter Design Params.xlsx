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69A63D3B-2827-4D8F-A7BD-6B49D3215CA6}" xr6:coauthVersionLast="47" xr6:coauthVersionMax="47" xr10:uidLastSave="{00000000-0000-0000-0000-000000000000}"/>
  <bookViews>
    <workbookView xWindow="4308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" i="1" l="1"/>
  <c r="B34" i="1"/>
  <c r="B32" i="1"/>
  <c r="F49" i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54" i="1" s="1"/>
  <c r="F44" i="1"/>
  <c r="F104" i="1" s="1"/>
  <c r="D46" i="1"/>
  <c r="D45" i="1"/>
  <c r="D47" i="1" s="1"/>
  <c r="D49" i="1" s="1"/>
  <c r="D44" i="1"/>
  <c r="D52" i="1" s="1"/>
  <c r="B45" i="1"/>
  <c r="B47" i="1" s="1"/>
  <c r="B22" i="1"/>
  <c r="B23" i="1" s="1"/>
  <c r="B20" i="1"/>
  <c r="B18" i="1"/>
  <c r="B17" i="1"/>
  <c r="D57" i="1" l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J104" i="1"/>
  <c r="H63" i="1"/>
  <c r="B49" i="1" l="1"/>
  <c r="B44" i="1"/>
  <c r="B64" i="1"/>
  <c r="B7" i="2"/>
  <c r="F64" i="1"/>
  <c r="F48" i="1"/>
  <c r="H64" i="1"/>
  <c r="D104" i="1"/>
  <c r="H104" i="1"/>
  <c r="J63" i="1"/>
  <c r="B104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<sst xmlns="http://schemas.openxmlformats.org/spreadsheetml/2006/main" count="399" uniqueCount="166">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</sst>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NumberFormat="1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 applyBorder="1"/>
    <xf numFmtId="0" fontId="1" fillId="3" borderId="61" xfId="2" applyBorder="1"/>
    <xf numFmtId="166" fontId="0" fillId="0" borderId="59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08"/>
  <sheetViews>
    <sheetView tabSelected="1" topLeftCell="A84" zoomScale="125" zoomScaleNormal="97" workbookViewId="0">
      <selection activeCell="I100" sqref="I100"/>
    </sheetView>
  </sheetViews>
  <sheetFormatPr defaultColWidth="12" defaultRowHeight="13.5"/>
  <cols>
    <col min="1" max="1" width="20.4375" customWidth="1"/>
    <col min="2" max="11" width="12.875" customWidth="1"/>
    <col min="12" max="12" width="17.4375" customWidth="1"/>
    <col min="13" max="13" width="18.875" customWidth="1"/>
  </cols>
  <sheetData>
    <row r="1" spans="1:3" ht="20.65">
      <c r="A1" s="1" t="s">
        <v>58</v>
      </c>
    </row>
    <row r="3" spans="1:3" ht="17.649999999999999">
      <c r="A3" s="2" t="s">
        <v>141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55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5" t="s">
        <v>41</v>
      </c>
      <c r="B17" s="91">
        <f>1-(B7/B8)</f>
        <v>0.5</v>
      </c>
      <c r="C17" s="46" t="s">
        <v>104</v>
      </c>
    </row>
    <row r="18" spans="1:3">
      <c r="A18" s="47" t="s">
        <v>40</v>
      </c>
      <c r="B18" s="92">
        <f>1-(B6/B9)</f>
        <v>0.30000000000000004</v>
      </c>
      <c r="C18" s="48" t="s">
        <v>105</v>
      </c>
    </row>
    <row r="19" spans="1:3">
      <c r="A19" s="56" t="s">
        <v>59</v>
      </c>
      <c r="B19" s="57">
        <f>B9/B7</f>
        <v>2</v>
      </c>
      <c r="C19" s="58" t="s">
        <v>106</v>
      </c>
    </row>
    <row r="20" spans="1:3">
      <c r="A20" s="49" t="s">
        <v>60</v>
      </c>
      <c r="B20" s="50">
        <f>B10/B6</f>
        <v>0.14285714285714285</v>
      </c>
      <c r="C20" s="51" t="s">
        <v>107</v>
      </c>
    </row>
    <row r="21" spans="1:3">
      <c r="A21" s="52" t="s">
        <v>43</v>
      </c>
      <c r="B21" s="93">
        <f>1/3</f>
        <v>0.33333333333333331</v>
      </c>
      <c r="C21" s="17" t="s">
        <v>108</v>
      </c>
    </row>
    <row r="22" spans="1:3">
      <c r="A22" s="52" t="s">
        <v>150</v>
      </c>
      <c r="B22" s="94">
        <f>B8^2/B10</f>
        <v>50</v>
      </c>
      <c r="C22" s="17" t="s">
        <v>155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>
      <c r="A24" s="95" t="s">
        <v>151</v>
      </c>
      <c r="B24" s="28">
        <f>B23*1.2</f>
        <v>44.44444444444445</v>
      </c>
      <c r="C24" s="35" t="s">
        <v>8</v>
      </c>
    </row>
    <row r="25" spans="1:3" ht="13.9" thickBot="1">
      <c r="A25" s="87" t="s">
        <v>103</v>
      </c>
      <c r="B25" s="96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0.05</v>
      </c>
      <c r="C31" s="14" t="s">
        <v>3</v>
      </c>
    </row>
    <row r="32" spans="1:3">
      <c r="A32" s="97" t="s">
        <v>152</v>
      </c>
      <c r="B32" s="98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154</v>
      </c>
    </row>
    <row r="34" spans="1:11">
      <c r="A34" s="27" t="s">
        <v>153</v>
      </c>
      <c r="B34" s="28">
        <f>B33*1.2</f>
        <v>120</v>
      </c>
      <c r="C34" s="99" t="s">
        <v>109</v>
      </c>
    </row>
    <row r="35" spans="1:11" ht="13.9" thickBot="1">
      <c r="A35" s="10" t="s">
        <v>12</v>
      </c>
      <c r="B35" s="11">
        <v>220</v>
      </c>
      <c r="C35" s="19" t="s">
        <v>109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3.9" thickBot="1">
      <c r="A57" s="10" t="s">
        <v>54</v>
      </c>
      <c r="B57" s="104">
        <f>10^3*B52*B45/($B$35*10^-6*$B$11*10^3)</f>
        <v>2.2727272727272729</v>
      </c>
      <c r="C57" s="30" t="s">
        <v>121</v>
      </c>
      <c r="D57" s="104">
        <f>10^3*D52*D45/($B$35*10^-6*$B$11*10^3)</f>
        <v>1.3636363636363638</v>
      </c>
      <c r="E57" s="30" t="s">
        <v>121</v>
      </c>
      <c r="F57" s="104">
        <f>10^3*F52*F45/($B$35*10^-6*$B$11*10^3)</f>
        <v>22.727272727272727</v>
      </c>
      <c r="G57" s="30" t="s">
        <v>121</v>
      </c>
      <c r="H57" s="104">
        <f>10^3*H52*H45/($B$35*10^-6*$B$11*10^3)</f>
        <v>13.636363636363638</v>
      </c>
      <c r="I57" s="30" t="s">
        <v>121</v>
      </c>
      <c r="J57" s="104">
        <f>10^3*J52*J45/($B$35*10^-6*$B$11*10^3)</f>
        <v>9.9999999999999982</v>
      </c>
      <c r="K57" s="30" t="s">
        <v>121</v>
      </c>
    </row>
    <row r="58" spans="1:14" ht="13.9" thickTop="1">
      <c r="B58" s="32"/>
      <c r="C58" s="33"/>
    </row>
    <row r="59" spans="1:14">
      <c r="B59" s="32"/>
      <c r="C59" s="33"/>
    </row>
    <row r="60" spans="1:14" ht="17.649999999999999">
      <c r="A60" s="2" t="s">
        <v>19</v>
      </c>
    </row>
    <row r="62" spans="1:14" ht="14.25" thickBot="1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3.9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3.9" thickBot="1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3.9" thickTop="1"/>
    <row r="79" spans="1:12" ht="17.649999999999999">
      <c r="A79" s="2" t="s">
        <v>22</v>
      </c>
    </row>
    <row r="80" spans="1:12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124</v>
      </c>
      <c r="B82" s="5">
        <v>1</v>
      </c>
      <c r="C82" s="14" t="s">
        <v>3</v>
      </c>
    </row>
    <row r="83" spans="1:3">
      <c r="A83" s="15" t="s">
        <v>125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">
      <c r="A85" s="52" t="s">
        <v>130</v>
      </c>
      <c r="B85" s="36">
        <v>22</v>
      </c>
      <c r="C85" s="18" t="s">
        <v>24</v>
      </c>
    </row>
    <row r="86" spans="1:3">
      <c r="A86" s="52" t="s">
        <v>129</v>
      </c>
      <c r="B86" s="34">
        <v>1</v>
      </c>
      <c r="C86" s="18" t="s">
        <v>25</v>
      </c>
    </row>
    <row r="87" spans="1:3">
      <c r="A87" s="52" t="s">
        <v>128</v>
      </c>
      <c r="B87" s="16">
        <v>18</v>
      </c>
      <c r="C87" s="18" t="s">
        <v>26</v>
      </c>
    </row>
    <row r="88" spans="1:3">
      <c r="A88" s="52" t="s">
        <v>127</v>
      </c>
      <c r="B88" s="16">
        <v>0.22</v>
      </c>
      <c r="C88" s="18" t="s">
        <v>134</v>
      </c>
    </row>
    <row r="89" spans="1:3">
      <c r="A89" s="52" t="s">
        <v>131</v>
      </c>
      <c r="B89" s="16">
        <v>4.7</v>
      </c>
      <c r="C89" s="18" t="s">
        <v>135</v>
      </c>
    </row>
    <row r="90" spans="1:3">
      <c r="A90" s="52" t="s">
        <v>132</v>
      </c>
      <c r="B90" s="16">
        <v>10</v>
      </c>
      <c r="C90" s="18" t="s">
        <v>136</v>
      </c>
    </row>
    <row r="91" spans="1:3">
      <c r="A91" s="52" t="s">
        <v>133</v>
      </c>
      <c r="B91" s="16">
        <v>1500</v>
      </c>
      <c r="C91" s="18" t="s">
        <v>137</v>
      </c>
    </row>
    <row r="92" spans="1:3">
      <c r="A92" s="52" t="s">
        <v>27</v>
      </c>
      <c r="B92" s="16">
        <v>22</v>
      </c>
      <c r="C92" s="18" t="s">
        <v>138</v>
      </c>
    </row>
    <row r="93" spans="1:3">
      <c r="A93" s="52" t="s">
        <v>28</v>
      </c>
      <c r="B93" s="16">
        <v>12</v>
      </c>
      <c r="C93" s="18" t="s">
        <v>139</v>
      </c>
    </row>
    <row r="94" spans="1:3">
      <c r="A94" s="52" t="s">
        <v>126</v>
      </c>
      <c r="B94" s="16">
        <v>2200</v>
      </c>
      <c r="C94" s="18" t="s">
        <v>140</v>
      </c>
    </row>
    <row r="95" spans="1:3">
      <c r="A95" s="15" t="s">
        <v>122</v>
      </c>
      <c r="B95" s="34">
        <v>4.7</v>
      </c>
      <c r="C95" s="18" t="s">
        <v>29</v>
      </c>
    </row>
    <row r="96" spans="1:3">
      <c r="A96" s="15" t="s">
        <v>123</v>
      </c>
      <c r="B96" s="34">
        <v>10</v>
      </c>
      <c r="C96" s="18" t="s">
        <v>29</v>
      </c>
    </row>
    <row r="97" spans="1:11">
      <c r="A97" s="15" t="s">
        <v>30</v>
      </c>
      <c r="B97" s="110">
        <v>1</v>
      </c>
      <c r="C97" s="18"/>
    </row>
    <row r="98" spans="1:11" ht="13.9" thickBot="1">
      <c r="A98" s="10" t="s">
        <v>31</v>
      </c>
      <c r="B98" s="111">
        <v>500</v>
      </c>
      <c r="C98" s="19"/>
    </row>
    <row r="99" spans="1:11" ht="13.9" thickTop="1"/>
    <row r="101" spans="1:11" ht="17.649999999999999">
      <c r="A101" s="2" t="s">
        <v>32</v>
      </c>
    </row>
    <row r="102" spans="1:11" ht="13.9" thickBot="1"/>
    <row r="103" spans="1:11" ht="14.65" thickTop="1" thickBot="1">
      <c r="A103" s="3" t="s">
        <v>0</v>
      </c>
      <c r="B103" s="3" t="s">
        <v>1</v>
      </c>
      <c r="C103" s="3" t="s">
        <v>7</v>
      </c>
      <c r="D103" s="3" t="s">
        <v>1</v>
      </c>
      <c r="E103" s="3" t="s">
        <v>7</v>
      </c>
      <c r="F103" s="3"/>
      <c r="G103" s="3"/>
      <c r="H103" s="3" t="s">
        <v>1</v>
      </c>
      <c r="I103" s="3" t="s">
        <v>7</v>
      </c>
      <c r="J103" s="3" t="s">
        <v>1</v>
      </c>
      <c r="K103" s="3" t="s">
        <v>7</v>
      </c>
    </row>
    <row r="104" spans="1:11" ht="13.9" thickTop="1">
      <c r="A104" s="7" t="s">
        <v>16</v>
      </c>
      <c r="B104" s="8">
        <f>B44</f>
        <v>50</v>
      </c>
      <c r="C104" s="22" t="s">
        <v>20</v>
      </c>
      <c r="D104" s="8">
        <f>D44</f>
        <v>50</v>
      </c>
      <c r="E104" s="22" t="s">
        <v>20</v>
      </c>
      <c r="F104" s="8">
        <f>F44</f>
        <v>5</v>
      </c>
      <c r="G104" s="22" t="s">
        <v>20</v>
      </c>
      <c r="H104" s="8">
        <f>H44</f>
        <v>5</v>
      </c>
      <c r="I104" s="22" t="s">
        <v>20</v>
      </c>
      <c r="J104" s="8">
        <f>J44</f>
        <v>9.0909090909090917</v>
      </c>
      <c r="K104" s="23" t="s">
        <v>20</v>
      </c>
    </row>
    <row r="105" spans="1:11">
      <c r="A105" s="7" t="s">
        <v>33</v>
      </c>
      <c r="B105" s="8">
        <v>2.5</v>
      </c>
      <c r="C105" s="22" t="s">
        <v>3</v>
      </c>
      <c r="D105" s="8">
        <v>3.5</v>
      </c>
      <c r="E105" s="22" t="s">
        <v>3</v>
      </c>
      <c r="F105" s="8">
        <v>2.5</v>
      </c>
      <c r="G105" s="22" t="s">
        <v>3</v>
      </c>
      <c r="H105" s="8">
        <v>3.5</v>
      </c>
      <c r="I105" s="22" t="s">
        <v>3</v>
      </c>
      <c r="J105" s="8">
        <v>3</v>
      </c>
      <c r="K105" s="23" t="s">
        <v>3</v>
      </c>
    </row>
    <row r="106" spans="1:11">
      <c r="A106" s="38" t="s">
        <v>165</v>
      </c>
      <c r="B106" s="102"/>
      <c r="C106" s="22" t="s">
        <v>3</v>
      </c>
      <c r="D106" s="102"/>
      <c r="E106" s="22" t="s">
        <v>3</v>
      </c>
      <c r="F106" s="102"/>
      <c r="G106" s="22" t="s">
        <v>3</v>
      </c>
      <c r="H106" s="102"/>
      <c r="I106" s="22" t="s">
        <v>3</v>
      </c>
      <c r="J106" s="24"/>
      <c r="K106" s="23" t="s">
        <v>3</v>
      </c>
    </row>
    <row r="107" spans="1:11" ht="13.9" thickBot="1">
      <c r="A107" s="10" t="s">
        <v>34</v>
      </c>
      <c r="B107" s="109"/>
      <c r="C107" s="30" t="s">
        <v>35</v>
      </c>
      <c r="D107" s="109"/>
      <c r="E107" s="30" t="s">
        <v>35</v>
      </c>
      <c r="F107" s="112"/>
      <c r="G107" s="30" t="s">
        <v>35</v>
      </c>
      <c r="H107" s="109"/>
      <c r="I107" s="30" t="s">
        <v>35</v>
      </c>
      <c r="J107" s="113"/>
      <c r="K107" s="31" t="s">
        <v>35</v>
      </c>
    </row>
    <row r="108" spans="1:11" ht="13.9" thickTop="1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3.5"/>
  <cols>
    <col min="1" max="1" width="24.4375" customWidth="1"/>
    <col min="2" max="9" width="12.875" customWidth="1"/>
  </cols>
  <sheetData>
    <row r="1" spans="1:3" ht="20.65">
      <c r="A1" s="1" t="s">
        <v>91</v>
      </c>
    </row>
    <row r="3" spans="1:3" ht="17.649999999999999">
      <c r="A3" s="2" t="s">
        <v>61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103</v>
      </c>
      <c r="B6" s="5">
        <f>SS_Analysis!B25</f>
        <v>47</v>
      </c>
      <c r="C6" s="18" t="s">
        <v>8</v>
      </c>
    </row>
    <row r="7" spans="1:3">
      <c r="A7" s="38" t="s">
        <v>93</v>
      </c>
      <c r="B7" s="8">
        <f>SS_Analysis!H46</f>
        <v>1.4285714285714286</v>
      </c>
      <c r="C7" s="9" t="s">
        <v>42</v>
      </c>
    </row>
    <row r="8" spans="1:3">
      <c r="A8" s="38" t="s">
        <v>94</v>
      </c>
      <c r="B8" s="8">
        <f>SS_Analysis!H49</f>
        <v>1.540273556231003</v>
      </c>
      <c r="C8" s="9" t="s">
        <v>42</v>
      </c>
    </row>
    <row r="9" spans="1:3">
      <c r="A9" s="38" t="s">
        <v>92</v>
      </c>
      <c r="B9" s="8">
        <f>SS_Analysis!H51</f>
        <v>1.4300263802829551</v>
      </c>
      <c r="C9" s="9" t="s">
        <v>42</v>
      </c>
    </row>
    <row r="10" spans="1:3">
      <c r="A10" s="7" t="s">
        <v>62</v>
      </c>
      <c r="B10" s="8">
        <v>0.25</v>
      </c>
      <c r="C10" s="9" t="s">
        <v>63</v>
      </c>
    </row>
    <row r="11" spans="1:3" ht="13.9" thickBot="1">
      <c r="A11" s="10" t="s">
        <v>5</v>
      </c>
      <c r="B11" s="11">
        <f>SS_Analysis!B11</f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64</v>
      </c>
    </row>
    <row r="15" spans="1:3" ht="18" thickBot="1">
      <c r="A15" s="2"/>
    </row>
    <row r="16" spans="1:3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/>
      <c r="C19" s="64" t="s">
        <v>70</v>
      </c>
    </row>
    <row r="20" spans="1:3">
      <c r="A20" s="62" t="s">
        <v>71</v>
      </c>
      <c r="B20" s="65"/>
      <c r="C20" s="64" t="s">
        <v>72</v>
      </c>
    </row>
    <row r="21" spans="1:3">
      <c r="A21" s="62" t="s">
        <v>73</v>
      </c>
      <c r="B21" s="65"/>
      <c r="C21" s="64" t="s">
        <v>74</v>
      </c>
    </row>
    <row r="22" spans="1:3">
      <c r="A22" s="62" t="s">
        <v>75</v>
      </c>
      <c r="B22" s="65"/>
      <c r="C22" s="64" t="s">
        <v>70</v>
      </c>
    </row>
    <row r="23" spans="1:3">
      <c r="A23" s="62" t="s">
        <v>76</v>
      </c>
      <c r="B23" s="65"/>
      <c r="C23" s="64" t="s">
        <v>72</v>
      </c>
    </row>
    <row r="24" spans="1:3">
      <c r="A24" s="62" t="s">
        <v>77</v>
      </c>
      <c r="B24" s="66"/>
      <c r="C24" s="64" t="s">
        <v>78</v>
      </c>
    </row>
    <row r="25" spans="1:3">
      <c r="A25" s="62" t="s">
        <v>79</v>
      </c>
      <c r="B25" s="66"/>
      <c r="C25" s="64" t="s">
        <v>80</v>
      </c>
    </row>
    <row r="26" spans="1:3">
      <c r="A26" s="67" t="s">
        <v>81</v>
      </c>
      <c r="B26" s="68"/>
      <c r="C26" s="64"/>
    </row>
    <row r="27" spans="1:3" ht="13.9" thickBot="1">
      <c r="A27" s="69" t="s">
        <v>82</v>
      </c>
      <c r="B27" s="70">
        <v>0.65</v>
      </c>
      <c r="C27" s="71"/>
    </row>
    <row r="28" spans="1:3" ht="13.9" thickTop="1"/>
    <row r="30" spans="1:3" ht="17.649999999999999">
      <c r="A30" s="2" t="s">
        <v>83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59" t="s">
        <v>84</v>
      </c>
      <c r="B33" s="72">
        <v>0.1</v>
      </c>
      <c r="C33" s="73" t="s">
        <v>142</v>
      </c>
      <c r="G33" s="74"/>
    </row>
    <row r="34" spans="1:7">
      <c r="A34" s="75" t="s">
        <v>85</v>
      </c>
      <c r="B34" s="76"/>
      <c r="C34" s="77" t="s">
        <v>143</v>
      </c>
      <c r="G34" s="74"/>
    </row>
    <row r="35" spans="1:7">
      <c r="A35" s="75" t="s">
        <v>86</v>
      </c>
      <c r="B35" s="78"/>
      <c r="C35" s="77" t="s">
        <v>144</v>
      </c>
      <c r="F35" s="79"/>
      <c r="G35" s="74"/>
    </row>
    <row r="36" spans="1:7" ht="15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>
      <c r="A37" s="75" t="s">
        <v>88</v>
      </c>
      <c r="B37" s="76"/>
      <c r="C37" s="77" t="s">
        <v>145</v>
      </c>
    </row>
    <row r="38" spans="1:7">
      <c r="A38" s="82" t="s">
        <v>96</v>
      </c>
      <c r="B38" s="81">
        <v>0.5</v>
      </c>
      <c r="C38" s="77" t="s">
        <v>72</v>
      </c>
    </row>
    <row r="39" spans="1:7">
      <c r="A39" s="82" t="s">
        <v>95</v>
      </c>
      <c r="B39" s="76"/>
      <c r="C39" s="77" t="s">
        <v>146</v>
      </c>
    </row>
    <row r="40" spans="1:7">
      <c r="A40" s="82" t="s">
        <v>97</v>
      </c>
      <c r="B40" s="81">
        <v>5</v>
      </c>
      <c r="C40" s="77"/>
    </row>
    <row r="41" spans="1:7">
      <c r="A41" s="82" t="s">
        <v>98</v>
      </c>
      <c r="B41" s="76"/>
      <c r="C41" s="77" t="s">
        <v>147</v>
      </c>
    </row>
    <row r="42" spans="1:7" ht="13.9" thickBot="1">
      <c r="A42" s="84" t="s">
        <v>89</v>
      </c>
      <c r="B42" s="85"/>
      <c r="C42" s="86" t="s">
        <v>148</v>
      </c>
    </row>
    <row r="43" spans="1:7" ht="13.9" thickTop="1">
      <c r="B43" s="74"/>
    </row>
    <row r="45" spans="1:7" ht="17.649999999999999">
      <c r="A45" s="2" t="s">
        <v>99</v>
      </c>
    </row>
    <row r="46" spans="1:7" ht="13.9" thickBot="1"/>
    <row r="47" spans="1:7" ht="14.65" thickTop="1" thickBot="1">
      <c r="A47" s="3" t="s">
        <v>0</v>
      </c>
      <c r="B47" s="3" t="s">
        <v>1</v>
      </c>
      <c r="C47" s="3" t="s">
        <v>7</v>
      </c>
    </row>
    <row r="48" spans="1:7" ht="13.9" thickTop="1">
      <c r="A48" s="82" t="s">
        <v>100</v>
      </c>
      <c r="B48" s="76"/>
      <c r="C48" s="77" t="s">
        <v>90</v>
      </c>
    </row>
    <row r="49" spans="1:3">
      <c r="A49" s="75" t="s">
        <v>86</v>
      </c>
      <c r="B49" s="90"/>
      <c r="C49" s="64" t="s">
        <v>63</v>
      </c>
    </row>
    <row r="50" spans="1:3">
      <c r="A50" s="82" t="s">
        <v>149</v>
      </c>
      <c r="B50" s="90"/>
      <c r="C50" s="64" t="s">
        <v>63</v>
      </c>
    </row>
    <row r="51" spans="1:3" ht="13.9" thickBot="1">
      <c r="A51" s="83" t="s">
        <v>101</v>
      </c>
      <c r="B51" s="88"/>
      <c r="C51" s="89" t="s">
        <v>102</v>
      </c>
    </row>
    <row r="52" spans="1:3" ht="13.9" thickTop="1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2026-08-20T12:31:10Z</dcterms:modified>
</cp:coreProperties>
</file>