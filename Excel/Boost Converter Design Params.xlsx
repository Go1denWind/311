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tom\Documents\GitHub\311\Excel\"/>
    </mc:Choice>
  </mc:AlternateContent>
  <xr:revisionPtr revIDLastSave="0" documentId="13_ncr:1_{8FA943A1-BAC0-4164-9636-0C29EC94EDB1}" xr6:coauthVersionLast="47" xr6:coauthVersionMax="47" xr10:uidLastSave="{00000000-0000-0000-0000-000000000000}"/>
  <bookViews>
    <workbookView xWindow="-108" yWindow="-108" windowWidth="23256" windowHeight="12456" activeTab="2" xr2:uid="{0EA872C3-4804-43CB-9F0B-5F94DB7B4351}"/>
  </bookViews>
  <sheets>
    <sheet name="SS_Analysis" sheetId="1" r:id="rId1"/>
    <sheet name="Inductor_Design" sheetId="2" r:id="rId2"/>
    <sheet name="Testing_Openloop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<sst xmlns="http://schemas.openxmlformats.org/spreadsheetml/2006/main" count="527" uniqueCount="260">
  <si>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</si>
  <si>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</si>
  <si>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</si>
  <si>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</si>
  <si>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</si>
  <si>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</si>
  <si>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</si>
  <si>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</si>
  <si>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</si>
  <si>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</si>
  <si>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</si>
  <si>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</si>
  <si>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</si>
  <si>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</si>
  <si>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</si>
  <si>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</si>
  <si>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</si>
  <si>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</si>
  <si>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</si>
  <si>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</si>
  <si>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</si>
  <si>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</si>
  <si>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</si>
  <si>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</si>
  <si>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</si>
  <si>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</si>
  <si>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</si>
  <si>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</si>
  <si>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</si>
  <si>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</si>
  <si>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</si>
  <si>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</si>
  <si>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</si>
  <si>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</si>
  <si>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</si>
  <si>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</si>
  <si>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</si>
  <si>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</si>
  <si>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</si>
  <si>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</si>
  <si>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</si>
  <si>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</si>
  <si>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</si>
  <si>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</si>
  <si>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</si>
  <si>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</si>
  <si>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</si>
  <si>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</si>
  <si>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</si>
  <si>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</si>
  <si>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</si>
  <si>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</si>
  <si>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</si>
  <si>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</si>
  <si>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</si>
  <si>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</si>
  <si>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</si>
  <si>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</si>
  <si>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</si>
  <si>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</si>
  <si>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</si>
  <si>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</si>
  <si>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</si>
  <si>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</si>
  <si>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</si>
  <si>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</si>
  <si>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</si>
  <si>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</si>
  <si>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</si>
  <si>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</si>
  <si>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</si>
  <si>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</si>
  <si>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</si>
  <si>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</si>
  <si>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</si>
  <si>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</si>
  <si>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</si>
  <si>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</si>
  <si>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</si>
  <si>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</si>
  <si>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</si>
  <si>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</si>
  <si>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</si>
  <si>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</si>
  <si>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</si>
  <si>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</si>
  <si>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</si>
  <si>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</si>
  <si>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</si>
  <si>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</si>
  <si>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</si>
  <si>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</si>
  <si>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</si>
  <si>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</si>
  <si>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</si>
  <si>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</si>
  <si>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</si>
  <si>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</si>
  <si>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</si>
  <si>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</si>
  <si>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</si>
  <si>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</si>
  <si>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</si>
  <si>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</si>
  <si>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</si>
  <si>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</si>
  <si>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</si>
  <si>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</si>
  <si>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</si>
  <si>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</si>
  <si>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</si>
  <si>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</si>
  <si>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</si>
  <si>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</si>
  <si>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</si>
  <si>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</si>
  <si>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</si>
  <si>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</si>
  <si>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</si>
  <si>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</si>
  <si>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</si>
  <si>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</si>
  <si>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</si>
  <si>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</si>
  <si>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</si>
  <si>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</si>
  <si>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</si>
  <si>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</si>
  <si>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</si>
  <si>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</si>
  <si>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</si>
  <si>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</si>
  <si>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</si>
  <si>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</si>
  <si>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</si>
  <si>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</si>
  <si>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</si>
  <si>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</si>
  <si>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</si>
  <si>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</si>
  <si>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</si>
  <si>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</si>
  <si>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</si>
  <si>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</si>
  <si>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</si>
  <si>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</si>
  <si>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</si>
  <si>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</si>
  <si>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</si>
  <si>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</si>
  <si>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</si>
  <si>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</si>
  <si>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</si>
  <si>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</si>
  <si>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</si>
  <si>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</si>
  <si>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</si>
  <si>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</si>
  <si>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</si>
  <si>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</si>
  <si>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</si>
  <si>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</si>
  <si>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</si>
  <si>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</si>
  <si>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</si>
  <si>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</si>
  <si>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</si>
  <si>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</si>
  <si>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</si>
  <si>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</si>
  <si>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</si>
  <si>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</si>
  <si>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</si>
  <si>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</si>
  <si>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</si>
  <si>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</si>
  <si>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</si>
  <si>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</si>
  <si>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</si>
  <si>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</si>
  <si>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</si>
  <si>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</si>
  <si>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</si>
  <si>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</si>
  <si>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</si>
  <si>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</si>
  <si>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</si>
  <si>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</si>
  <si>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</si>
  <si>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</si>
  <si>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</si>
  <si>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</si>
  <si>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</si>
  <si>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</si>
  <si>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</si>
  <si>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</si>
  <si>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</si>
  <si>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</si>
  <si>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</si>
  <si>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</si>
  <si>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</si>
  <si>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</si>
  <si>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</si>
  <si>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</si>
  <si>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</si>
  <si>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</si>
  <si>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</si>
  <si>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</si>
  <si>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</si>
  <si>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</si>
  <si>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</si>
  <si>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</si>
  <si>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</si>
  <si>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</si>
  <si>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</si>
  <si>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</si>
  <si>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</si>
  <si>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</si>
  <si>
    <t>fp = 1/2piRC @ 10MHz corner</t>
  </si>
  <si>
    <t>R7 = 180kOhms</t>
  </si>
  <si>
    <t>Testing with breadboard: E12 values</t>
  </si>
  <si>
    <t>Rl values</t>
  </si>
  <si>
    <t>Rl_E12 values</t>
  </si>
  <si>
    <t>Testing Items for each:</t>
  </si>
  <si>
    <t>Order list: breadboard testing</t>
  </si>
  <si>
    <t>*</t>
  </si>
  <si>
    <t>Output V</t>
  </si>
  <si>
    <t>Breadboard</t>
  </si>
  <si>
    <t>Current through inductor</t>
  </si>
  <si>
    <t>5.6, 10, 22, 33, 47 ohm resistors</t>
  </si>
  <si>
    <t>Current through shunt branch</t>
  </si>
  <si>
    <t>47uH inductor</t>
  </si>
  <si>
    <t>Schotty diode</t>
  </si>
  <si>
    <t>^Note: Others were not measured</t>
  </si>
  <si>
    <t xml:space="preserve">due to time constraints, and lack of </t>
  </si>
  <si>
    <t>&gt; Input V given by DC power supply</t>
  </si>
  <si>
    <t>0.1ohm shunt resistors available.</t>
  </si>
  <si>
    <t>&gt;Switch operated using oscilloscope</t>
  </si>
  <si>
    <t>Rl = 5.6</t>
  </si>
  <si>
    <t>Real R: 5.58</t>
  </si>
  <si>
    <t>Rl = 10</t>
  </si>
  <si>
    <t>Real R: 10.07</t>
  </si>
  <si>
    <t>Rl = 22</t>
  </si>
  <si>
    <t>Real R: 22.08</t>
  </si>
  <si>
    <t>Rl = 33</t>
  </si>
  <si>
    <t>Real R: 32.89</t>
  </si>
  <si>
    <t>Rl = 47</t>
  </si>
  <si>
    <t>Real R: 47.13</t>
  </si>
  <si>
    <t>Input V</t>
  </si>
  <si>
    <t>Duty Cycle</t>
  </si>
  <si>
    <t>3V</t>
  </si>
  <si>
    <t>3.5V</t>
  </si>
  <si>
    <t>3.8V</t>
  </si>
  <si>
    <t>3.9V</t>
  </si>
  <si>
    <t>3.4V</t>
  </si>
  <si>
    <t>4V</t>
  </si>
  <si>
    <t>4.1V</t>
  </si>
  <si>
    <t>4.2V</t>
  </si>
  <si>
    <t>4.26V</t>
  </si>
  <si>
    <t>4.3V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</si>
</sst>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9" tint="0.79998168889431442"/>
        <bgColor indexed="65"/>
      </patternFill>
    </fill>
  </fills>
  <borders count="6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</borders>
  <cellStyleXfs count="6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</cellStyleXfs>
  <cellXfs count="136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  <xf numFmtId="0" fontId="1" fillId="7" borderId="0" xfId="4"/>
    <xf numFmtId="0" fontId="1" fillId="3" borderId="0" xfId="2"/>
    <xf numFmtId="0" fontId="1" fillId="8" borderId="0" xfId="5"/>
    <xf numFmtId="9" fontId="1" fillId="8" borderId="0" xfId="5" applyNumberFormat="1"/>
  </cellXfs>
  <cellStyles count="6">
    <cellStyle name="20% - Accent1" xfId="2" builtinId="30"/>
    <cellStyle name="20% - Accent6" xfId="5" builtinId="50"/>
    <cellStyle name="40% - Accent1" xfId="4" builtinId="31"/>
    <cellStyle name="Check Cell" xfId="1" builtinId="23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opLeftCell="A110" zoomScale="111" zoomScaleNormal="130" workbookViewId="0">
      <selection activeCell="B129" sqref="B129"/>
    </sheetView>
  </sheetViews>
  <sheetFormatPr defaultColWidth="12" defaultRowHeight="14.4" x14ac:dyDescent="0.3"/>
  <cols>
    <col min="1" max="1" width="20.44140625" customWidth="1"/>
    <col min="2" max="2" width="13.5546875" customWidth="1"/>
    <col min="3" max="3" width="13.33203125" customWidth="1"/>
    <col min="4" max="7" width="12.88671875" customWidth="1"/>
    <col min="8" max="8" width="22" customWidth="1"/>
    <col min="9" max="11" width="12.88671875" customWidth="1"/>
    <col min="12" max="12" width="17.44140625" customWidth="1"/>
    <col min="13" max="13" width="18.88671875" customWidth="1"/>
  </cols>
  <sheetData>
    <row r="1" spans="1:3" ht="21" x14ac:dyDescent="0.4">
      <c r="A1" s="1" t="s">
        <v>58</v>
      </c>
    </row>
    <row r="3" spans="1:3" ht="18" x14ac:dyDescent="0.35">
      <c r="A3" s="2" t="s">
        <v>137</v>
      </c>
    </row>
    <row r="4" spans="1:3" ht="15" thickBot="1" x14ac:dyDescent="0.35"/>
    <row r="5" spans="1:3" ht="15.6" thickTop="1" thickBot="1" x14ac:dyDescent="0.35">
      <c r="A5" s="3" t="s">
        <v>0</v>
      </c>
      <c r="B5" s="3" t="s">
        <v>1</v>
      </c>
      <c r="C5" s="3" t="s">
        <v>2</v>
      </c>
    </row>
    <row r="6" spans="1:3" ht="15" thickTop="1" x14ac:dyDescent="0.3">
      <c r="A6" s="37" t="s">
        <v>36</v>
      </c>
      <c r="B6" s="5">
        <v>3.5</v>
      </c>
      <c r="C6" s="6" t="s">
        <v>3</v>
      </c>
    </row>
    <row r="7" spans="1:3" x14ac:dyDescent="0.3">
      <c r="A7" s="38" t="s">
        <v>37</v>
      </c>
      <c r="B7" s="8">
        <v>2.5</v>
      </c>
      <c r="C7" s="9" t="s">
        <v>3</v>
      </c>
    </row>
    <row r="8" spans="1:3" x14ac:dyDescent="0.3">
      <c r="A8" s="38" t="s">
        <v>38</v>
      </c>
      <c r="B8" s="8">
        <v>5</v>
      </c>
      <c r="C8" s="9" t="s">
        <v>3</v>
      </c>
    </row>
    <row r="9" spans="1:3" x14ac:dyDescent="0.3">
      <c r="A9" s="38" t="s">
        <v>56</v>
      </c>
      <c r="B9" s="8">
        <v>5</v>
      </c>
      <c r="C9" s="9" t="s">
        <v>4</v>
      </c>
    </row>
    <row r="10" spans="1:3" x14ac:dyDescent="0.3">
      <c r="A10" s="38" t="s">
        <v>57</v>
      </c>
      <c r="B10" s="39">
        <v>0.5</v>
      </c>
      <c r="C10" s="40" t="s">
        <v>4</v>
      </c>
    </row>
    <row r="11" spans="1:3" ht="15" thickBot="1" x14ac:dyDescent="0.35">
      <c r="A11" s="10" t="s">
        <v>5</v>
      </c>
      <c r="B11" s="11">
        <v>100</v>
      </c>
      <c r="C11" s="12" t="s">
        <v>6</v>
      </c>
    </row>
    <row r="12" spans="1:3" ht="16.2" thickTop="1" x14ac:dyDescent="0.3">
      <c r="A12" s="13"/>
    </row>
    <row r="14" spans="1:3" ht="18" x14ac:dyDescent="0.35">
      <c r="A14" s="2" t="s">
        <v>55</v>
      </c>
    </row>
    <row r="15" spans="1:3" ht="15" thickBot="1" x14ac:dyDescent="0.35"/>
    <row r="16" spans="1:3" ht="15.6" thickTop="1" thickBot="1" x14ac:dyDescent="0.35">
      <c r="A16" s="3" t="s">
        <v>0</v>
      </c>
      <c r="B16" s="3" t="s">
        <v>1</v>
      </c>
      <c r="C16" s="3" t="s">
        <v>7</v>
      </c>
    </row>
    <row r="17" spans="1:3" ht="15" thickTop="1" x14ac:dyDescent="0.3">
      <c r="A17" s="45" t="s">
        <v>41</v>
      </c>
      <c r="B17" s="89">
        <f>1-(B7/B8)</f>
        <v>0.5</v>
      </c>
      <c r="C17" s="46" t="s">
        <v>102</v>
      </c>
    </row>
    <row r="18" spans="1:3" x14ac:dyDescent="0.3">
      <c r="A18" s="47" t="s">
        <v>40</v>
      </c>
      <c r="B18" s="90">
        <f>1-(B6/B9)</f>
        <v>0.30000000000000004</v>
      </c>
      <c r="C18" s="48" t="s">
        <v>103</v>
      </c>
    </row>
    <row r="19" spans="1:3" x14ac:dyDescent="0.3">
      <c r="A19" s="56" t="s">
        <v>59</v>
      </c>
      <c r="B19" s="57">
        <f>B9/B7</f>
        <v>2</v>
      </c>
      <c r="C19" s="58" t="s">
        <v>104</v>
      </c>
    </row>
    <row r="20" spans="1:3" x14ac:dyDescent="0.3">
      <c r="A20" s="49" t="s">
        <v>60</v>
      </c>
      <c r="B20" s="50">
        <f>B10/B6</f>
        <v>0.14285714285714285</v>
      </c>
      <c r="C20" s="51" t="s">
        <v>105</v>
      </c>
    </row>
    <row r="21" spans="1:3" x14ac:dyDescent="0.3">
      <c r="A21" s="52" t="s">
        <v>43</v>
      </c>
      <c r="B21" s="91">
        <f>1/3</f>
        <v>0.33333333333333331</v>
      </c>
      <c r="C21" s="17" t="s">
        <v>106</v>
      </c>
    </row>
    <row r="22" spans="1:3" x14ac:dyDescent="0.3">
      <c r="A22" s="52" t="s">
        <v>146</v>
      </c>
      <c r="B22" s="92">
        <f>B8^2/B10</f>
        <v>50</v>
      </c>
      <c r="C22" s="17" t="s">
        <v>151</v>
      </c>
    </row>
    <row r="23" spans="1:3" x14ac:dyDescent="0.3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 x14ac:dyDescent="0.3">
      <c r="A24" s="93" t="s">
        <v>147</v>
      </c>
      <c r="B24" s="28">
        <f>B23*1.2</f>
        <v>44.44444444444445</v>
      </c>
      <c r="C24" s="35" t="s">
        <v>8</v>
      </c>
    </row>
    <row r="25" spans="1:3" ht="15" thickBot="1" x14ac:dyDescent="0.35">
      <c r="A25" s="85" t="s">
        <v>101</v>
      </c>
      <c r="B25" s="94">
        <v>47</v>
      </c>
      <c r="C25" s="19" t="s">
        <v>8</v>
      </c>
    </row>
    <row r="26" spans="1:3" ht="15" thickTop="1" x14ac:dyDescent="0.3"/>
    <row r="28" spans="1:3" ht="18" x14ac:dyDescent="0.35">
      <c r="A28" s="2" t="s">
        <v>9</v>
      </c>
    </row>
    <row r="29" spans="1:3" ht="15" thickBot="1" x14ac:dyDescent="0.35"/>
    <row r="30" spans="1:3" ht="15.6" thickTop="1" thickBot="1" x14ac:dyDescent="0.35">
      <c r="A30" s="3" t="s">
        <v>0</v>
      </c>
      <c r="B30" s="3" t="s">
        <v>1</v>
      </c>
      <c r="C30" s="3" t="s">
        <v>7</v>
      </c>
    </row>
    <row r="31" spans="1:3" ht="15" thickTop="1" x14ac:dyDescent="0.3">
      <c r="A31" s="4" t="s">
        <v>10</v>
      </c>
      <c r="B31" s="5">
        <v>0.05</v>
      </c>
      <c r="C31" s="14" t="s">
        <v>3</v>
      </c>
    </row>
    <row r="32" spans="1:3" x14ac:dyDescent="0.3">
      <c r="A32" s="95" t="s">
        <v>148</v>
      </c>
      <c r="B32" s="96">
        <f>B9/B8</f>
        <v>1</v>
      </c>
      <c r="C32" s="35" t="s">
        <v>42</v>
      </c>
    </row>
    <row r="33" spans="1:11" x14ac:dyDescent="0.3">
      <c r="A33" s="15" t="s">
        <v>11</v>
      </c>
      <c r="B33" s="16">
        <f>10^6*B32*B17/(B11*10^3*B31)</f>
        <v>100</v>
      </c>
      <c r="C33" s="17" t="s">
        <v>150</v>
      </c>
    </row>
    <row r="34" spans="1:11" x14ac:dyDescent="0.3">
      <c r="A34" s="27" t="s">
        <v>149</v>
      </c>
      <c r="B34" s="28">
        <f>B33*1.2</f>
        <v>120</v>
      </c>
      <c r="C34" s="97" t="s">
        <v>107</v>
      </c>
    </row>
    <row r="35" spans="1:11" ht="15" thickBot="1" x14ac:dyDescent="0.35">
      <c r="A35" s="10" t="s">
        <v>12</v>
      </c>
      <c r="B35" s="94">
        <v>560</v>
      </c>
      <c r="C35" s="19" t="s">
        <v>107</v>
      </c>
    </row>
    <row r="36" spans="1:11" ht="15" thickTop="1" x14ac:dyDescent="0.3"/>
    <row r="38" spans="1:11" ht="18" x14ac:dyDescent="0.35">
      <c r="A38" s="2" t="s">
        <v>13</v>
      </c>
    </row>
    <row r="39" spans="1:11" ht="15" thickBot="1" x14ac:dyDescent="0.35"/>
    <row r="40" spans="1:11" ht="15.6" thickTop="1" thickBot="1" x14ac:dyDescent="0.35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 x14ac:dyDescent="0.3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 x14ac:dyDescent="0.3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 x14ac:dyDescent="0.3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 x14ac:dyDescent="0.3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 x14ac:dyDescent="0.3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 x14ac:dyDescent="0.3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 x14ac:dyDescent="0.3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 x14ac:dyDescent="0.3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 x14ac:dyDescent="0.3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 x14ac:dyDescent="0.3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 x14ac:dyDescent="0.3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 x14ac:dyDescent="0.3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 x14ac:dyDescent="0.3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 x14ac:dyDescent="0.3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 x14ac:dyDescent="0.3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 x14ac:dyDescent="0.3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5" thickBot="1" x14ac:dyDescent="0.35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5" thickTop="1" x14ac:dyDescent="0.3">
      <c r="B58" s="32"/>
      <c r="C58" s="33"/>
    </row>
    <row r="59" spans="1:14" x14ac:dyDescent="0.3">
      <c r="B59" s="32"/>
      <c r="C59" s="33"/>
    </row>
    <row r="60" spans="1:14" ht="18" x14ac:dyDescent="0.35">
      <c r="A60" s="2" t="s">
        <v>19</v>
      </c>
    </row>
    <row r="62" spans="1:14" ht="15" thickBot="1" x14ac:dyDescent="0.35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5" thickTop="1" x14ac:dyDescent="0.3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 x14ac:dyDescent="0.3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 x14ac:dyDescent="0.3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 x14ac:dyDescent="0.3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 x14ac:dyDescent="0.3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 x14ac:dyDescent="0.3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 x14ac:dyDescent="0.3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 x14ac:dyDescent="0.3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 x14ac:dyDescent="0.3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 x14ac:dyDescent="0.3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 x14ac:dyDescent="0.3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 x14ac:dyDescent="0.3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 x14ac:dyDescent="0.3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5" thickBot="1" x14ac:dyDescent="0.35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5" thickTop="1" x14ac:dyDescent="0.3"/>
    <row r="79" spans="1:12" ht="18" x14ac:dyDescent="0.35">
      <c r="A79" s="2" t="s">
        <v>22</v>
      </c>
    </row>
    <row r="80" spans="1:12" ht="15" thickBot="1" x14ac:dyDescent="0.35"/>
    <row r="81" spans="1:3" ht="15.6" thickTop="1" thickBot="1" x14ac:dyDescent="0.35">
      <c r="A81" s="3" t="s">
        <v>0</v>
      </c>
      <c r="B81" s="3" t="s">
        <v>1</v>
      </c>
      <c r="C81" s="3" t="s">
        <v>7</v>
      </c>
    </row>
    <row r="82" spans="1:3" ht="15" thickTop="1" x14ac:dyDescent="0.3">
      <c r="A82" s="4" t="s">
        <v>122</v>
      </c>
      <c r="B82" s="5">
        <v>1</v>
      </c>
      <c r="C82" s="14" t="s">
        <v>3</v>
      </c>
    </row>
    <row r="83" spans="1:3" x14ac:dyDescent="0.3">
      <c r="A83" s="15" t="s">
        <v>123</v>
      </c>
      <c r="B83" s="34">
        <v>4</v>
      </c>
      <c r="C83" s="17" t="s">
        <v>3</v>
      </c>
    </row>
    <row r="84" spans="1:3" x14ac:dyDescent="0.3">
      <c r="A84" s="15" t="s">
        <v>23</v>
      </c>
      <c r="B84" s="34">
        <v>2.5</v>
      </c>
      <c r="C84" s="35" t="s">
        <v>3</v>
      </c>
    </row>
    <row r="85" spans="1:3" ht="15.6" x14ac:dyDescent="0.3">
      <c r="A85" s="52" t="s">
        <v>128</v>
      </c>
      <c r="B85" s="36">
        <v>22</v>
      </c>
      <c r="C85" s="18" t="s">
        <v>24</v>
      </c>
    </row>
    <row r="86" spans="1:3" x14ac:dyDescent="0.3">
      <c r="A86" s="52" t="s">
        <v>127</v>
      </c>
      <c r="B86" s="34">
        <v>1</v>
      </c>
      <c r="C86" s="18" t="s">
        <v>25</v>
      </c>
    </row>
    <row r="87" spans="1:3" x14ac:dyDescent="0.3">
      <c r="A87" s="52" t="s">
        <v>126</v>
      </c>
      <c r="B87" s="16">
        <v>18</v>
      </c>
      <c r="C87" s="18" t="s">
        <v>26</v>
      </c>
    </row>
    <row r="88" spans="1:3" x14ac:dyDescent="0.3">
      <c r="A88" s="52" t="s">
        <v>125</v>
      </c>
      <c r="B88" s="16">
        <v>0.1</v>
      </c>
      <c r="C88" s="18" t="s">
        <v>132</v>
      </c>
    </row>
    <row r="89" spans="1:3" x14ac:dyDescent="0.3">
      <c r="A89" s="52" t="s">
        <v>129</v>
      </c>
      <c r="B89" s="16">
        <v>39</v>
      </c>
      <c r="C89" s="18" t="s">
        <v>190</v>
      </c>
    </row>
    <row r="90" spans="1:3" x14ac:dyDescent="0.3">
      <c r="A90" s="52" t="s">
        <v>130</v>
      </c>
      <c r="B90" s="16">
        <v>150</v>
      </c>
      <c r="C90" s="18" t="s">
        <v>191</v>
      </c>
    </row>
    <row r="91" spans="1:3" x14ac:dyDescent="0.3">
      <c r="A91" s="52" t="s">
        <v>131</v>
      </c>
      <c r="B91" s="16">
        <v>100</v>
      </c>
      <c r="C91" s="18" t="s">
        <v>133</v>
      </c>
    </row>
    <row r="92" spans="1:3" x14ac:dyDescent="0.3">
      <c r="A92" s="52" t="s">
        <v>27</v>
      </c>
      <c r="B92" s="16">
        <v>100</v>
      </c>
      <c r="C92" s="18" t="s">
        <v>134</v>
      </c>
    </row>
    <row r="93" spans="1:3" x14ac:dyDescent="0.3">
      <c r="A93" s="52" t="s">
        <v>28</v>
      </c>
      <c r="B93" s="16">
        <v>100</v>
      </c>
      <c r="C93" s="18" t="s">
        <v>135</v>
      </c>
    </row>
    <row r="94" spans="1:3" x14ac:dyDescent="0.3">
      <c r="A94" s="52" t="s">
        <v>124</v>
      </c>
      <c r="B94" s="16">
        <v>3300</v>
      </c>
      <c r="C94" s="18" t="s">
        <v>136</v>
      </c>
    </row>
    <row r="95" spans="1:3" x14ac:dyDescent="0.3">
      <c r="A95" s="15" t="s">
        <v>120</v>
      </c>
      <c r="B95" s="34">
        <v>4.7</v>
      </c>
      <c r="C95" s="18" t="s">
        <v>29</v>
      </c>
    </row>
    <row r="96" spans="1:3" x14ac:dyDescent="0.3">
      <c r="A96" s="15" t="s">
        <v>121</v>
      </c>
      <c r="B96" s="34">
        <v>10</v>
      </c>
      <c r="C96" s="18" t="s">
        <v>29</v>
      </c>
    </row>
    <row r="97" spans="1:11" x14ac:dyDescent="0.3">
      <c r="A97" s="52" t="s">
        <v>163</v>
      </c>
      <c r="B97" s="34">
        <v>150</v>
      </c>
      <c r="C97" s="18" t="s">
        <v>162</v>
      </c>
    </row>
    <row r="98" spans="1:11" x14ac:dyDescent="0.3">
      <c r="A98" s="15" t="s">
        <v>30</v>
      </c>
      <c r="B98" s="108">
        <v>1</v>
      </c>
      <c r="C98" s="18"/>
    </row>
    <row r="99" spans="1:11" ht="15" thickBot="1" x14ac:dyDescent="0.35">
      <c r="A99" s="10" t="s">
        <v>31</v>
      </c>
      <c r="B99" s="109">
        <v>300</v>
      </c>
      <c r="C99" s="19"/>
    </row>
    <row r="100" spans="1:11" ht="15" thickTop="1" x14ac:dyDescent="0.3"/>
    <row r="102" spans="1:11" ht="18" x14ac:dyDescent="0.35">
      <c r="A102" s="2" t="s">
        <v>32</v>
      </c>
    </row>
    <row r="103" spans="1:11" ht="15" thickBot="1" x14ac:dyDescent="0.35"/>
    <row r="104" spans="1:11" ht="15.6" thickTop="1" thickBot="1" x14ac:dyDescent="0.35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5" thickTop="1" x14ac:dyDescent="0.3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 x14ac:dyDescent="0.3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 x14ac:dyDescent="0.3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5" thickBot="1" x14ac:dyDescent="0.35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5" thickTop="1" x14ac:dyDescent="0.3"/>
    <row r="111" spans="1:11" ht="18" x14ac:dyDescent="0.35">
      <c r="A111" s="2" t="s">
        <v>164</v>
      </c>
    </row>
    <row r="112" spans="1:11" ht="15" thickBot="1" x14ac:dyDescent="0.35"/>
    <row r="113" spans="1:8" ht="15.6" thickTop="1" thickBot="1" x14ac:dyDescent="0.35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5" thickTop="1" x14ac:dyDescent="0.3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184</v>
      </c>
    </row>
    <row r="115" spans="1:8" x14ac:dyDescent="0.3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184</v>
      </c>
    </row>
    <row r="116" spans="1:8" x14ac:dyDescent="0.3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218</v>
      </c>
      <c r="G116" s="22"/>
      <c r="H116" s="22" t="s">
        <v>183</v>
      </c>
    </row>
    <row r="117" spans="1:8" ht="15" thickBot="1" x14ac:dyDescent="0.35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5.6" thickTop="1" thickBot="1" x14ac:dyDescent="0.35">
      <c r="A118" s="85" t="s">
        <v>185</v>
      </c>
      <c r="B118" s="100" t="s">
        <v>186</v>
      </c>
      <c r="C118" s="30"/>
      <c r="D118" s="30" t="s">
        <v>187</v>
      </c>
      <c r="E118" s="30"/>
      <c r="F118" s="30" t="s">
        <v>189</v>
      </c>
      <c r="G118" s="30"/>
      <c r="H118" s="30" t="s">
        <v>188</v>
      </c>
    </row>
    <row r="119" spans="1:8" ht="15" thickTop="1" x14ac:dyDescent="0.3"/>
    <row r="120" spans="1:8" x14ac:dyDescent="0.3">
      <c r="A120" s="129" t="s">
        <v>212</v>
      </c>
    </row>
    <row r="121" spans="1:8" x14ac:dyDescent="0.3">
      <c r="A121" s="130" t="s">
        <v>206</v>
      </c>
      <c r="B121" t="s">
        <v>203</v>
      </c>
    </row>
    <row r="122" spans="1:8" x14ac:dyDescent="0.3">
      <c r="A122" s="130" t="s">
        <v>205</v>
      </c>
    </row>
    <row r="123" spans="1:8" x14ac:dyDescent="0.3">
      <c r="A123" s="130" t="s">
        <v>207</v>
      </c>
      <c r="B123" t="s">
        <v>204</v>
      </c>
    </row>
    <row r="124" spans="1:8" x14ac:dyDescent="0.3">
      <c r="A124" s="130" t="s">
        <v>219</v>
      </c>
      <c r="B124" t="s">
        <v>208</v>
      </c>
    </row>
    <row r="125" spans="1:8" x14ac:dyDescent="0.3">
      <c r="A125" s="129" t="s">
        <v>213</v>
      </c>
    </row>
    <row r="126" spans="1:8" x14ac:dyDescent="0.3">
      <c r="A126" s="130" t="s">
        <v>209</v>
      </c>
      <c r="B126" t="s">
        <v>211</v>
      </c>
    </row>
    <row r="127" spans="1:8" x14ac:dyDescent="0.3">
      <c r="A127" s="130" t="s">
        <v>210</v>
      </c>
    </row>
    <row r="128" spans="1:8" x14ac:dyDescent="0.3">
      <c r="A128" s="130" t="s">
        <v>214</v>
      </c>
      <c r="B128" t="s">
        <v>215</v>
      </c>
    </row>
    <row r="129" spans="1:2" x14ac:dyDescent="0.3">
      <c r="A129" s="130" t="s">
        <v>216</v>
      </c>
      <c r="B129" t="s">
        <v>217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opLeftCell="A24" zoomScale="121" workbookViewId="0">
      <selection activeCell="C48" sqref="C48"/>
    </sheetView>
  </sheetViews>
  <sheetFormatPr defaultColWidth="12" defaultRowHeight="14.4" x14ac:dyDescent="0.3"/>
  <cols>
    <col min="1" max="1" width="24.44140625" customWidth="1"/>
    <col min="2" max="9" width="12.88671875" customWidth="1"/>
  </cols>
  <sheetData>
    <row r="1" spans="1:5" ht="21" x14ac:dyDescent="0.4">
      <c r="A1" s="1" t="s">
        <v>90</v>
      </c>
    </row>
    <row r="3" spans="1:5" ht="18" x14ac:dyDescent="0.35">
      <c r="A3" s="2" t="s">
        <v>61</v>
      </c>
    </row>
    <row r="4" spans="1:5" ht="15" thickBot="1" x14ac:dyDescent="0.35"/>
    <row r="5" spans="1:5" ht="15.6" thickTop="1" thickBot="1" x14ac:dyDescent="0.35">
      <c r="A5" s="3" t="s">
        <v>0</v>
      </c>
      <c r="B5" s="3" t="s">
        <v>1</v>
      </c>
      <c r="C5" s="3" t="s">
        <v>2</v>
      </c>
      <c r="E5" s="73"/>
    </row>
    <row r="6" spans="1:5" ht="15" thickTop="1" x14ac:dyDescent="0.3">
      <c r="A6" s="37" t="s">
        <v>101</v>
      </c>
      <c r="B6" s="5">
        <f>SS_Analysis!B25</f>
        <v>47</v>
      </c>
      <c r="C6" s="18" t="s">
        <v>8</v>
      </c>
    </row>
    <row r="7" spans="1:5" x14ac:dyDescent="0.3">
      <c r="A7" s="38" t="s">
        <v>92</v>
      </c>
      <c r="B7" s="8">
        <f>SS_Analysis!F46</f>
        <v>2</v>
      </c>
      <c r="C7" s="9" t="s">
        <v>42</v>
      </c>
    </row>
    <row r="8" spans="1:5" x14ac:dyDescent="0.3">
      <c r="A8" s="38" t="s">
        <v>93</v>
      </c>
      <c r="B8" s="8">
        <f>SS_Analysis!F49</f>
        <v>2.1329787234042552</v>
      </c>
      <c r="C8" s="9" t="s">
        <v>42</v>
      </c>
    </row>
    <row r="9" spans="1:5" x14ac:dyDescent="0.3">
      <c r="A9" s="38" t="s">
        <v>91</v>
      </c>
      <c r="B9" s="8">
        <f>SS_Analysis!F51</f>
        <v>2.0014730692565936</v>
      </c>
      <c r="C9" s="9" t="s">
        <v>42</v>
      </c>
    </row>
    <row r="10" spans="1:5" x14ac:dyDescent="0.3">
      <c r="A10" s="7" t="s">
        <v>62</v>
      </c>
      <c r="B10" s="8">
        <v>0.25</v>
      </c>
      <c r="C10" s="9" t="s">
        <v>63</v>
      </c>
    </row>
    <row r="11" spans="1:5" ht="15" thickBot="1" x14ac:dyDescent="0.35">
      <c r="A11" s="10" t="s">
        <v>5</v>
      </c>
      <c r="B11" s="11">
        <f>SS_Analysis!B11</f>
        <v>100</v>
      </c>
      <c r="C11" s="12" t="s">
        <v>6</v>
      </c>
    </row>
    <row r="12" spans="1:5" ht="16.2" thickTop="1" x14ac:dyDescent="0.3">
      <c r="A12" s="13"/>
    </row>
    <row r="14" spans="1:5" ht="18" x14ac:dyDescent="0.35">
      <c r="A14" s="2" t="s">
        <v>64</v>
      </c>
    </row>
    <row r="15" spans="1:5" ht="18.600000000000001" thickBot="1" x14ac:dyDescent="0.4">
      <c r="A15" s="2"/>
    </row>
    <row r="16" spans="1:5" ht="15.6" thickTop="1" thickBot="1" x14ac:dyDescent="0.35">
      <c r="A16" s="3" t="s">
        <v>0</v>
      </c>
      <c r="B16" s="3" t="s">
        <v>1</v>
      </c>
      <c r="C16" s="3" t="s">
        <v>2</v>
      </c>
    </row>
    <row r="17" spans="1:3" ht="15" thickTop="1" x14ac:dyDescent="0.3">
      <c r="A17" s="59" t="s">
        <v>65</v>
      </c>
      <c r="B17" s="60" t="s">
        <v>66</v>
      </c>
      <c r="C17" s="61"/>
    </row>
    <row r="18" spans="1:3" x14ac:dyDescent="0.3">
      <c r="A18" s="62" t="s">
        <v>67</v>
      </c>
      <c r="B18" s="63" t="s">
        <v>68</v>
      </c>
      <c r="C18" s="64"/>
    </row>
    <row r="19" spans="1:3" x14ac:dyDescent="0.3">
      <c r="A19" s="62" t="s">
        <v>69</v>
      </c>
      <c r="B19" s="65">
        <v>31</v>
      </c>
      <c r="C19" s="64" t="s">
        <v>70</v>
      </c>
    </row>
    <row r="20" spans="1:3" x14ac:dyDescent="0.3">
      <c r="A20" s="62" t="s">
        <v>71</v>
      </c>
      <c r="B20" s="65">
        <v>47</v>
      </c>
      <c r="C20" s="64" t="s">
        <v>72</v>
      </c>
    </row>
    <row r="21" spans="1:3" x14ac:dyDescent="0.3">
      <c r="A21" s="62" t="s">
        <v>73</v>
      </c>
      <c r="B21" s="65">
        <v>1460</v>
      </c>
      <c r="C21" s="64" t="s">
        <v>74</v>
      </c>
    </row>
    <row r="22" spans="1:3" x14ac:dyDescent="0.3">
      <c r="A22" s="62" t="s">
        <v>75</v>
      </c>
      <c r="B22" s="65">
        <v>28.1</v>
      </c>
      <c r="C22" s="64" t="s">
        <v>70</v>
      </c>
    </row>
    <row r="23" spans="1:3" x14ac:dyDescent="0.3">
      <c r="A23" s="62" t="s">
        <v>76</v>
      </c>
      <c r="B23" s="65">
        <v>40.200000000000003</v>
      </c>
      <c r="C23" s="64" t="s">
        <v>72</v>
      </c>
    </row>
    <row r="24" spans="1:3" x14ac:dyDescent="0.3">
      <c r="A24" s="62" t="s">
        <v>77</v>
      </c>
      <c r="B24" s="66">
        <f>1.724*10^-8</f>
        <v>1.7240000000000001E-8</v>
      </c>
      <c r="C24" s="64" t="s">
        <v>78</v>
      </c>
    </row>
    <row r="25" spans="1:3" x14ac:dyDescent="0.3">
      <c r="A25" s="62" t="s">
        <v>79</v>
      </c>
      <c r="B25" s="119">
        <f>4*PI()*10^-7</f>
        <v>1.2566370614359173E-6</v>
      </c>
      <c r="C25" s="64" t="s">
        <v>80</v>
      </c>
    </row>
    <row r="26" spans="1:3" x14ac:dyDescent="0.3">
      <c r="A26" s="67" t="s">
        <v>81</v>
      </c>
      <c r="B26" s="121">
        <v>1510</v>
      </c>
    </row>
    <row r="27" spans="1:3" ht="15" thickBot="1" x14ac:dyDescent="0.35">
      <c r="A27" s="68" t="s">
        <v>82</v>
      </c>
      <c r="B27" s="69">
        <v>0.65</v>
      </c>
      <c r="C27" s="70"/>
    </row>
    <row r="28" spans="1:3" ht="15" thickTop="1" x14ac:dyDescent="0.3"/>
    <row r="30" spans="1:3" ht="18" x14ac:dyDescent="0.35">
      <c r="A30" s="2" t="s">
        <v>83</v>
      </c>
    </row>
    <row r="31" spans="1:3" ht="15" thickBot="1" x14ac:dyDescent="0.35"/>
    <row r="32" spans="1:3" ht="15.6" thickTop="1" thickBot="1" x14ac:dyDescent="0.35">
      <c r="A32" s="3" t="s">
        <v>0</v>
      </c>
      <c r="B32" s="3" t="s">
        <v>1</v>
      </c>
      <c r="C32" s="3" t="s">
        <v>7</v>
      </c>
    </row>
    <row r="33" spans="1:7" ht="15" thickTop="1" x14ac:dyDescent="0.3">
      <c r="A33" s="59" t="s">
        <v>84</v>
      </c>
      <c r="B33" s="71">
        <v>0.1</v>
      </c>
      <c r="C33" s="72" t="s">
        <v>138</v>
      </c>
      <c r="G33" s="73"/>
    </row>
    <row r="34" spans="1:7" x14ac:dyDescent="0.3">
      <c r="A34" s="74" t="s">
        <v>194</v>
      </c>
      <c r="B34" s="123">
        <f>ROUND(SQRT((2*B6*10^-6*B33*10^-3)/(B25*B19*10^-6)),0)</f>
        <v>16</v>
      </c>
      <c r="C34" s="76" t="s">
        <v>139</v>
      </c>
      <c r="G34" s="73"/>
    </row>
    <row r="35" spans="1:7" x14ac:dyDescent="0.3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.6" x14ac:dyDescent="0.3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 x14ac:dyDescent="0.3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 x14ac:dyDescent="0.3">
      <c r="A38" s="81" t="s">
        <v>95</v>
      </c>
      <c r="B38" s="80">
        <v>0.5</v>
      </c>
      <c r="C38" s="76" t="s">
        <v>72</v>
      </c>
    </row>
    <row r="39" spans="1:7" x14ac:dyDescent="0.3">
      <c r="A39" s="81" t="s">
        <v>94</v>
      </c>
      <c r="B39" s="120">
        <f>PI()*B38^2/4</f>
        <v>0.19634954084936207</v>
      </c>
      <c r="C39" s="76" t="s">
        <v>142</v>
      </c>
    </row>
    <row r="40" spans="1:7" x14ac:dyDescent="0.3">
      <c r="A40" s="81" t="s">
        <v>193</v>
      </c>
      <c r="B40" s="80">
        <v>5</v>
      </c>
      <c r="C40" s="76"/>
    </row>
    <row r="41" spans="1:7" x14ac:dyDescent="0.3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5" thickBot="1" x14ac:dyDescent="0.35">
      <c r="A42" s="83" t="s">
        <v>88</v>
      </c>
      <c r="B42" s="124">
        <f>B9^2*B41*10^-3</f>
        <v>4.5246282688178256E-2</v>
      </c>
      <c r="C42" s="84" t="s">
        <v>144</v>
      </c>
    </row>
    <row r="43" spans="1:7" ht="15" thickTop="1" x14ac:dyDescent="0.3">
      <c r="A43" s="125" t="s">
        <v>197</v>
      </c>
      <c r="B43" s="126">
        <f>B35*10^3*SS_Analysis!F47/(2*B8)</f>
        <v>13.368479376977847</v>
      </c>
      <c r="C43" s="127" t="s">
        <v>198</v>
      </c>
    </row>
    <row r="44" spans="1:7" x14ac:dyDescent="0.3">
      <c r="A44" s="125" t="s">
        <v>195</v>
      </c>
      <c r="B44" s="126">
        <f>1.71*10^-5*B11^1.12*B43^2.29</f>
        <v>1.1264811121722047</v>
      </c>
      <c r="C44" s="127" t="s">
        <v>199</v>
      </c>
    </row>
    <row r="45" spans="1:7" x14ac:dyDescent="0.3">
      <c r="A45" s="125" t="s">
        <v>196</v>
      </c>
      <c r="B45" s="126">
        <f>(B44*10^3*B21*10^-9) + B42</f>
        <v>4.6890945111949675E-2</v>
      </c>
      <c r="C45" s="127" t="s">
        <v>200</v>
      </c>
    </row>
    <row r="46" spans="1:7" x14ac:dyDescent="0.3">
      <c r="A46" s="74" t="s">
        <v>192</v>
      </c>
      <c r="B46" s="77">
        <f>B9/(B40*B39)</f>
        <v>2.0386837275999632</v>
      </c>
      <c r="C46" s="76" t="s">
        <v>201</v>
      </c>
    </row>
    <row r="47" spans="1:7" x14ac:dyDescent="0.3">
      <c r="A47" s="128" t="s">
        <v>202</v>
      </c>
      <c r="B47" s="114">
        <f>B34*B40*B39/B27</f>
        <v>24.166097335306102</v>
      </c>
      <c r="C47" s="127" t="s">
        <v>70</v>
      </c>
    </row>
    <row r="49" spans="1:3" ht="18" x14ac:dyDescent="0.35">
      <c r="A49" s="2" t="s">
        <v>97</v>
      </c>
    </row>
    <row r="50" spans="1:3" ht="15" thickBot="1" x14ac:dyDescent="0.35"/>
    <row r="51" spans="1:3" ht="15.6" thickTop="1" thickBot="1" x14ac:dyDescent="0.35">
      <c r="A51" s="3" t="s">
        <v>0</v>
      </c>
      <c r="B51" s="3" t="s">
        <v>1</v>
      </c>
      <c r="C51" s="3" t="s">
        <v>7</v>
      </c>
    </row>
    <row r="52" spans="1:3" ht="15" thickTop="1" x14ac:dyDescent="0.3">
      <c r="A52" s="81" t="s">
        <v>98</v>
      </c>
      <c r="B52" s="75">
        <v>48.296999999999997</v>
      </c>
      <c r="C52" s="76" t="s">
        <v>89</v>
      </c>
    </row>
    <row r="53" spans="1:3" x14ac:dyDescent="0.3">
      <c r="A53" s="74" t="s">
        <v>85</v>
      </c>
      <c r="B53" s="131">
        <f>(B52*B8)/(B34*B19)</f>
        <v>0.20769450283115989</v>
      </c>
      <c r="C53" s="64" t="s">
        <v>63</v>
      </c>
    </row>
    <row r="54" spans="1:3" x14ac:dyDescent="0.3">
      <c r="A54" s="81" t="s">
        <v>145</v>
      </c>
      <c r="B54" s="88">
        <v>50</v>
      </c>
      <c r="C54" s="64" t="s">
        <v>100</v>
      </c>
    </row>
    <row r="55" spans="1:3" ht="15" thickBot="1" x14ac:dyDescent="0.35">
      <c r="A55" s="82" t="s">
        <v>99</v>
      </c>
      <c r="B55" s="86">
        <v>273</v>
      </c>
      <c r="C55" s="87" t="s">
        <v>100</v>
      </c>
    </row>
    <row r="56" spans="1:3" ht="15" thickTop="1" x14ac:dyDescent="0.3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37C4-8F32-417F-A8E4-D80C296F90D3}">
  <dimension ref="B2:Y18"/>
  <sheetViews>
    <sheetView tabSelected="1" topLeftCell="A10" workbookViewId="0">
      <selection activeCell="K30" sqref="K30"/>
    </sheetView>
  </sheetViews>
  <sheetFormatPr defaultRowHeight="14.4" x14ac:dyDescent="0.3"/>
  <sheetData>
    <row r="2" spans="2:25" x14ac:dyDescent="0.3">
      <c r="B2" s="129" t="s">
        <v>220</v>
      </c>
    </row>
    <row r="3" spans="2:25" x14ac:dyDescent="0.3">
      <c r="B3" t="s">
        <v>221</v>
      </c>
      <c r="D3" t="s">
        <v>222</v>
      </c>
      <c r="G3" t="s">
        <v>223</v>
      </c>
      <c r="K3" t="s">
        <v>224</v>
      </c>
    </row>
    <row r="4" spans="2:25" x14ac:dyDescent="0.3">
      <c r="B4">
        <v>5</v>
      </c>
      <c r="C4" t="s">
        <v>225</v>
      </c>
      <c r="D4" s="129">
        <v>5.6</v>
      </c>
      <c r="E4" t="s">
        <v>225</v>
      </c>
      <c r="G4" s="129" t="s">
        <v>226</v>
      </c>
      <c r="K4" t="s">
        <v>227</v>
      </c>
    </row>
    <row r="5" spans="2:25" x14ac:dyDescent="0.3">
      <c r="B5">
        <v>10</v>
      </c>
      <c r="C5" t="s">
        <v>225</v>
      </c>
      <c r="D5" s="129">
        <v>10</v>
      </c>
      <c r="E5" t="s">
        <v>225</v>
      </c>
      <c r="G5" t="s">
        <v>228</v>
      </c>
      <c r="K5" t="s">
        <v>229</v>
      </c>
    </row>
    <row r="6" spans="2:25" x14ac:dyDescent="0.3">
      <c r="B6">
        <v>15</v>
      </c>
      <c r="C6" t="s">
        <v>225</v>
      </c>
      <c r="D6">
        <v>15</v>
      </c>
      <c r="G6" t="s">
        <v>230</v>
      </c>
      <c r="K6" t="s">
        <v>231</v>
      </c>
    </row>
    <row r="7" spans="2:25" x14ac:dyDescent="0.3">
      <c r="B7">
        <v>20</v>
      </c>
      <c r="D7" s="129">
        <v>22</v>
      </c>
      <c r="E7" t="s">
        <v>225</v>
      </c>
      <c r="K7" t="s">
        <v>232</v>
      </c>
    </row>
    <row r="8" spans="2:25" x14ac:dyDescent="0.3">
      <c r="B8">
        <v>25</v>
      </c>
      <c r="C8" t="s">
        <v>225</v>
      </c>
      <c r="D8">
        <v>27</v>
      </c>
      <c r="G8" t="s">
        <v>233</v>
      </c>
    </row>
    <row r="9" spans="2:25" x14ac:dyDescent="0.3">
      <c r="B9">
        <v>30</v>
      </c>
      <c r="C9" t="s">
        <v>225</v>
      </c>
      <c r="D9">
        <v>33</v>
      </c>
      <c r="G9" t="s">
        <v>234</v>
      </c>
      <c r="K9" t="s">
        <v>235</v>
      </c>
    </row>
    <row r="10" spans="2:25" x14ac:dyDescent="0.3">
      <c r="B10">
        <v>35</v>
      </c>
      <c r="D10" s="129">
        <v>33</v>
      </c>
      <c r="E10" t="s">
        <v>225</v>
      </c>
      <c r="G10" t="s">
        <v>236</v>
      </c>
      <c r="K10" t="s">
        <v>237</v>
      </c>
    </row>
    <row r="11" spans="2:25" x14ac:dyDescent="0.3">
      <c r="B11">
        <v>40</v>
      </c>
      <c r="C11" t="s">
        <v>225</v>
      </c>
      <c r="D11">
        <v>39</v>
      </c>
    </row>
    <row r="12" spans="2:25" x14ac:dyDescent="0.3">
      <c r="B12">
        <v>45</v>
      </c>
      <c r="C12" t="s">
        <v>225</v>
      </c>
      <c r="D12">
        <v>47</v>
      </c>
    </row>
    <row r="13" spans="2:25" x14ac:dyDescent="0.3">
      <c r="B13">
        <v>50</v>
      </c>
      <c r="C13" t="s">
        <v>225</v>
      </c>
      <c r="D13" s="129">
        <v>47</v>
      </c>
      <c r="E13" t="s">
        <v>225</v>
      </c>
    </row>
    <row r="15" spans="2:25" x14ac:dyDescent="0.3">
      <c r="B15" s="132" t="s">
        <v>238</v>
      </c>
      <c r="C15" s="132" t="s">
        <v>239</v>
      </c>
      <c r="D15" s="132"/>
      <c r="E15" s="132"/>
      <c r="G15" s="132" t="s">
        <v>240</v>
      </c>
      <c r="H15" s="132" t="s">
        <v>241</v>
      </c>
      <c r="I15" s="132"/>
      <c r="J15" s="132"/>
      <c r="L15" s="132" t="s">
        <v>242</v>
      </c>
      <c r="M15" s="132" t="s">
        <v>243</v>
      </c>
      <c r="N15" s="132"/>
      <c r="O15" s="132"/>
      <c r="Q15" s="132" t="s">
        <v>244</v>
      </c>
      <c r="R15" s="132" t="s">
        <v>245</v>
      </c>
      <c r="S15" s="132"/>
      <c r="T15" s="132"/>
      <c r="V15" s="132" t="s">
        <v>246</v>
      </c>
      <c r="W15" s="132" t="s">
        <v>247</v>
      </c>
      <c r="X15" s="132"/>
      <c r="Y15" s="132"/>
    </row>
    <row r="16" spans="2:25" x14ac:dyDescent="0.3">
      <c r="B16" s="133" t="s">
        <v>248</v>
      </c>
      <c r="C16" s="134">
        <v>2.5</v>
      </c>
      <c r="D16" s="134">
        <v>3</v>
      </c>
      <c r="E16" s="134">
        <v>3.5</v>
      </c>
      <c r="G16" s="133" t="s">
        <v>248</v>
      </c>
      <c r="H16" s="134">
        <v>2.5</v>
      </c>
      <c r="I16" s="134">
        <v>3</v>
      </c>
      <c r="J16" s="134">
        <v>3.5</v>
      </c>
      <c r="L16" s="133" t="s">
        <v>248</v>
      </c>
      <c r="M16" s="134">
        <v>2.5</v>
      </c>
      <c r="N16" s="134">
        <v>3</v>
      </c>
      <c r="O16" s="134">
        <v>3.5</v>
      </c>
      <c r="Q16" s="133" t="s">
        <v>248</v>
      </c>
      <c r="R16" s="134">
        <v>2.5</v>
      </c>
      <c r="S16" s="134">
        <v>3</v>
      </c>
      <c r="T16" s="134">
        <v>3.5</v>
      </c>
      <c r="V16" s="133" t="s">
        <v>248</v>
      </c>
      <c r="W16" s="134">
        <v>2.5</v>
      </c>
      <c r="X16" s="134">
        <v>3</v>
      </c>
      <c r="Y16" s="134">
        <v>3.5</v>
      </c>
    </row>
    <row r="17" spans="2:25" x14ac:dyDescent="0.3">
      <c r="B17" s="133" t="s">
        <v>249</v>
      </c>
      <c r="C17" s="135">
        <v>0.5</v>
      </c>
      <c r="D17" s="135">
        <v>0.4</v>
      </c>
      <c r="E17" s="135">
        <v>0.3</v>
      </c>
      <c r="G17" s="133" t="s">
        <v>249</v>
      </c>
      <c r="H17" s="135">
        <v>0.5</v>
      </c>
      <c r="I17" s="135">
        <v>0.4</v>
      </c>
      <c r="J17" s="135">
        <v>0.3</v>
      </c>
      <c r="L17" s="133" t="s">
        <v>249</v>
      </c>
      <c r="M17" s="135">
        <v>0.5</v>
      </c>
      <c r="N17" s="135">
        <v>0.4</v>
      </c>
      <c r="O17" s="135">
        <v>0.3</v>
      </c>
      <c r="Q17" s="133" t="s">
        <v>249</v>
      </c>
      <c r="R17" s="135">
        <v>0.5</v>
      </c>
      <c r="S17" s="135">
        <v>0.4</v>
      </c>
      <c r="T17" s="135">
        <v>0.3</v>
      </c>
      <c r="V17" s="133" t="s">
        <v>249</v>
      </c>
      <c r="W17" s="135">
        <v>0.5</v>
      </c>
      <c r="X17" s="135">
        <v>0.4</v>
      </c>
      <c r="Y17" s="135">
        <v>0.3</v>
      </c>
    </row>
    <row r="18" spans="2:25" x14ac:dyDescent="0.3">
      <c r="B18" s="133" t="s">
        <v>226</v>
      </c>
      <c r="C18" s="134" t="s">
        <v>250</v>
      </c>
      <c r="D18" s="134">
        <v>3.3</v>
      </c>
      <c r="E18" s="134">
        <v>3.55</v>
      </c>
      <c r="G18" s="133" t="s">
        <v>226</v>
      </c>
      <c r="H18" s="134" t="s">
        <v>251</v>
      </c>
      <c r="I18" s="134" t="s">
        <v>252</v>
      </c>
      <c r="J18" s="134" t="s">
        <v>253</v>
      </c>
      <c r="L18" s="133" t="s">
        <v>226</v>
      </c>
      <c r="M18" s="134" t="s">
        <v>254</v>
      </c>
      <c r="N18" s="134" t="s">
        <v>253</v>
      </c>
      <c r="O18" s="134" t="s">
        <v>255</v>
      </c>
      <c r="Q18" s="133" t="s">
        <v>226</v>
      </c>
      <c r="R18" s="134" t="s">
        <v>255</v>
      </c>
      <c r="S18" s="134" t="s">
        <v>256</v>
      </c>
      <c r="T18" s="134" t="s">
        <v>257</v>
      </c>
      <c r="V18" s="133" t="s">
        <v>226</v>
      </c>
      <c r="W18" s="134" t="s">
        <v>257</v>
      </c>
      <c r="X18" s="134" t="s">
        <v>258</v>
      </c>
      <c r="Y18" s="134" t="s">
        <v>259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SS_Analysis</vt:lpstr>
      <vt:lpstr>Inductor_Design</vt:lpstr>
      <vt:lpstr>Testing_Openloop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dcterms:created xsi:type="dcterms:W3CDTF">2025-12-20T08:56:10Z</dcterms:created>
  <dcterms:modified xsi:type="dcterms:W3CDTF">2026-09-29T21:09:50Z</dcterms:modified>
</cp:coreProperties>
</file>