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B3FEB86E-84E6-4867-A586-20C85CEDADEA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<sst xmlns="http://schemas.openxmlformats.org/spreadsheetml/2006/main" count="625" uniqueCount="314">
  <si>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</si>
  <si>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</si>
  <si>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</si>
  <si>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</si>
  <si>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</si>
  <si>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</si>
  <si>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</si>
  <si>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</si>
  <si>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</si>
  <si>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</si>
  <si>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</si>
  <si>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</si>
  <si>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</si>
  <si>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</si>
  <si>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</si>
  <si>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</si>
  <si>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</si>
  <si>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</si>
  <si>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</si>
  <si>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</si>
  <si>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</si>
  <si>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</si>
  <si>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</si>
  <si>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</si>
  <si>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</si>
  <si>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</si>
  <si>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</si>
  <si>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</si>
  <si>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</si>
  <si>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</si>
  <si>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</si>
  <si>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</si>
  <si>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</si>
  <si>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</si>
  <si>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</si>
  <si>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</si>
  <si>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</si>
  <si>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</si>
  <si>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</si>
  <si>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</si>
  <si>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</si>
  <si>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</si>
  <si>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</si>
  <si>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</si>
  <si>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</si>
  <si>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</si>
  <si>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</si>
  <si>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</si>
  <si>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</si>
  <si>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</si>
  <si>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</si>
  <si>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</si>
  <si>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</si>
  <si>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</si>
  <si>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</si>
  <si>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</si>
  <si>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</si>
  <si>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</si>
  <si>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</si>
  <si>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</si>
  <si>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</si>
  <si>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</si>
  <si>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</si>
  <si>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</si>
  <si>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</si>
  <si>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</si>
  <si>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</si>
  <si>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</si>
  <si>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</si>
  <si>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</si>
  <si>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</si>
  <si>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</si>
  <si>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</si>
  <si>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</si>
  <si>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</si>
  <si>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</si>
  <si>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</si>
  <si>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</si>
  <si>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</si>
  <si>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</si>
  <si>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</si>
  <si>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</si>
  <si>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</si>
  <si>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</si>
  <si>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</si>
  <si>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</si>
  <si>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</si>
  <si>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</si>
  <si>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</si>
  <si>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</si>
  <si>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</si>
  <si>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</si>
  <si>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</si>
  <si>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</si>
  <si>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</si>
  <si>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</si>
  <si>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</si>
  <si>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</si>
  <si>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</si>
  <si>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</si>
  <si>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</si>
  <si>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</si>
  <si>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</si>
  <si>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</si>
  <si>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</si>
  <si>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</si>
  <si>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</si>
  <si>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</si>
  <si>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</si>
  <si>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</si>
  <si>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</si>
  <si>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</si>
  <si>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</si>
  <si>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</si>
  <si>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</si>
  <si>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</si>
  <si>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</si>
  <si>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</si>
  <si>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</si>
  <si>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</si>
  <si>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</si>
  <si>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</si>
  <si>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</si>
  <si>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</si>
  <si>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</si>
  <si>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</si>
  <si>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</si>
  <si>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</si>
  <si>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</si>
  <si>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</si>
  <si>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</si>
  <si>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</si>
  <si>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</si>
  <si>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</si>
  <si>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</si>
  <si>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</si>
  <si>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</si>
  <si>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</si>
  <si>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</si>
  <si>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</si>
  <si>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</si>
  <si>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</si>
  <si>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</si>
  <si>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</si>
  <si>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</si>
  <si>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</si>
  <si>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</si>
  <si>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</si>
  <si>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</si>
  <si>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</si>
  <si>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</si>
  <si>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</si>
  <si>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</si>
  <si>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</si>
  <si>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</si>
  <si>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</si>
  <si>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</si>
  <si>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</si>
  <si>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</si>
  <si>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</si>
  <si>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</si>
  <si>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</si>
  <si>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</si>
  <si>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</si>
  <si>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</si>
  <si>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</si>
  <si>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</si>
  <si>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</si>
  <si>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</si>
  <si>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</si>
  <si>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</si>
  <si>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</si>
  <si>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</si>
  <si>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</si>
  <si>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</si>
  <si>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</si>
  <si>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</si>
  <si>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</si>
  <si>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</si>
  <si>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</si>
  <si>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</si>
  <si>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</si>
  <si>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</si>
  <si>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</si>
  <si>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</si>
  <si>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</si>
  <si>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</si>
  <si>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</si>
  <si>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</si>
  <si>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</si>
  <si>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</si>
  <si>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</si>
  <si>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</si>
  <si>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</si>
  <si>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</si>
  <si>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</si>
  <si>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</si>
  <si>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</si>
  <si>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</si>
  <si>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</si>
  <si>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</si>
  <si>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</si>
  <si>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</si>
  <si>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</si>
  <si>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</si>
  <si>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</si>
  <si>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</si>
  <si>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</si>
  <si>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</si>
  <si>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</si>
  <si>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</si>
  <si>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</si>
  <si>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</si>
  <si>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</si>
  <si>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</si>
  <si>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</si>
  <si>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</si>
  <si>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</si>
  <si>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</si>
  <si>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</si>
  <si>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</si>
  <si>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</si>
  <si>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</si>
  <si>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</si>
  <si>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</si>
  <si>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</si>
  <si>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</si>
  <si>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</si>
  <si>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</si>
  <si>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</si>
  <si>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</si>
  <si>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</si>
  <si>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</si>
  <si>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</si>
  <si>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</si>
  <si>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</si>
  <si>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</si>
  <si>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</si>
  <si>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</si>
  <si>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</si>
  <si>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</si>
  <si>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</si>
  <si>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</si>
  <si>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</si>
  <si>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</si>
  <si>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</si>
  <si>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</si>
  <si>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</si>
  <si>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</si>
  <si>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</si>
  <si>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</si>
  <si>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</si>
  <si>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</si>
  <si>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</si>
  <si>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</si>
  <si>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</si>
  <si>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</si>
  <si>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</si>
  <si>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</si>
  <si>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</si>
  <si>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</si>
  <si>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</si>
  <si>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</si>
  <si>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</si>
  <si>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</si>
  <si>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</si>
  <si>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</si>
  <si>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</si>
  <si>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</si>
  <si>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</si>
  <si>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</si>
  <si>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</si>
  <si>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</si>
  <si>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</si>
  <si>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</si>
  <si>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</si>
  <si>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</si>
  <si>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</si>
  <si>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</si>
  <si>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</si>
  <si>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</si>
  <si>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</si>
  <si>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</si>
  <si>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</si>
  <si>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</si>
  <si>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</si>
  <si>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</si>
  <si>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</si>
  <si>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</si>
  <si>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</si>
  <si>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</si>
  <si>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</si>
  <si>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</si>
  <si>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</si>
  <si>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</si>
  <si>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</si>
  <si>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</si>
  <si>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</si>
  <si>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</si>
  <si>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</si>
  <si>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</si>
  <si>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</si>
  <si>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</si>
  <si>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</si>
  <si>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</si>
  <si>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</si>
  <si>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</si>
  <si>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</si>
  <si>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</si>
  <si>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</si>
  <si>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</si>
  <si>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</si>
  <si>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</si>
  <si>
    <t>OVP testing results as displayed on Oscilloscope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</si>
</sst>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5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16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</cellXfs>
  <cellStyles count="15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30</xdr:row>
      <xdr:rowOff>2</xdr:rowOff>
    </xdr:from>
    <xdr:to>
      <xdr:col>21</xdr:col>
      <xdr:colOff>346364</xdr:colOff>
      <xdr:row>42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554184</xdr:colOff>
      <xdr:row>29</xdr:row>
      <xdr:rowOff>166256</xdr:rowOff>
    </xdr:from>
    <xdr:to>
      <xdr:col>28</xdr:col>
      <xdr:colOff>341394</xdr:colOff>
      <xdr:row>42</xdr:row>
      <xdr:rowOff>125506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55784" y="5365785"/>
          <a:ext cx="4054410" cy="2290074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42</xdr:row>
      <xdr:rowOff>62754</xdr:rowOff>
    </xdr:from>
    <xdr:to>
      <xdr:col>28</xdr:col>
      <xdr:colOff>332509</xdr:colOff>
      <xdr:row>55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42</xdr:row>
      <xdr:rowOff>161363</xdr:rowOff>
    </xdr:from>
    <xdr:to>
      <xdr:col>21</xdr:col>
      <xdr:colOff>358588</xdr:colOff>
      <xdr:row>56</xdr:row>
      <xdr:rowOff>6421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55433</xdr:rowOff>
    </xdr:from>
    <xdr:to>
      <xdr:col>21</xdr:col>
      <xdr:colOff>461044</xdr:colOff>
      <xdr:row>65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415650</xdr:rowOff>
    </xdr:from>
    <xdr:to>
      <xdr:col>21</xdr:col>
      <xdr:colOff>458551</xdr:colOff>
      <xdr:row>72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55433</xdr:rowOff>
    </xdr:from>
    <xdr:to>
      <xdr:col>28</xdr:col>
      <xdr:colOff>422084</xdr:colOff>
      <xdr:row>65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65</xdr:row>
      <xdr:rowOff>443358</xdr:rowOff>
    </xdr:from>
    <xdr:to>
      <xdr:col>28</xdr:col>
      <xdr:colOff>443345</xdr:colOff>
      <xdr:row>73</xdr:row>
      <xdr:rowOff>4998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62</xdr:row>
      <xdr:rowOff>249381</xdr:rowOff>
    </xdr:from>
    <xdr:to>
      <xdr:col>36</xdr:col>
      <xdr:colOff>512619</xdr:colOff>
      <xdr:row>66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  <xdr:twoCellAnchor editAs="oneCell">
    <xdr:from>
      <xdr:col>15</xdr:col>
      <xdr:colOff>2</xdr:colOff>
      <xdr:row>77</xdr:row>
      <xdr:rowOff>167642</xdr:rowOff>
    </xdr:from>
    <xdr:to>
      <xdr:col>21</xdr:col>
      <xdr:colOff>526473</xdr:colOff>
      <xdr:row>91</xdr:row>
      <xdr:rowOff>27584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FE9A0F2-AC83-3E70-C6CB-52B04BEE3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44002" y="16443962"/>
          <a:ext cx="4184071" cy="2420262"/>
        </a:xfrm>
        <a:prstGeom prst="rect">
          <a:avLst/>
        </a:prstGeom>
      </xdr:spPr>
    </xdr:pic>
    <xdr:clientData/>
  </xdr:twoCellAnchor>
  <xdr:twoCellAnchor editAs="oneCell">
    <xdr:from>
      <xdr:col>15</xdr:col>
      <xdr:colOff>13854</xdr:colOff>
      <xdr:row>92</xdr:row>
      <xdr:rowOff>38793</xdr:rowOff>
    </xdr:from>
    <xdr:to>
      <xdr:col>21</xdr:col>
      <xdr:colOff>538119</xdr:colOff>
      <xdr:row>105</xdr:row>
      <xdr:rowOff>80357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B5EAF27-7FAF-4190-A59B-190FC83C9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57854" y="19058313"/>
          <a:ext cx="4181865" cy="2419004"/>
        </a:xfrm>
        <a:prstGeom prst="rect">
          <a:avLst/>
        </a:prstGeom>
      </xdr:spPr>
    </xdr:pic>
    <xdr:clientData/>
  </xdr:twoCellAnchor>
  <xdr:twoCellAnchor editAs="oneCell">
    <xdr:from>
      <xdr:col>22</xdr:col>
      <xdr:colOff>136238</xdr:colOff>
      <xdr:row>85</xdr:row>
      <xdr:rowOff>11611</xdr:rowOff>
    </xdr:from>
    <xdr:to>
      <xdr:col>28</xdr:col>
      <xdr:colOff>522761</xdr:colOff>
      <xdr:row>97</xdr:row>
      <xdr:rowOff>66039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1FD7901-490C-9F8C-EDB2-7F3626BAC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547438" y="17750971"/>
          <a:ext cx="4044123" cy="2248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83"/>
  <sheetViews>
    <sheetView tabSelected="1" topLeftCell="A67" zoomScale="50" zoomScaleNormal="55" workbookViewId="0">
      <selection activeCell="AJ80" sqref="AJ80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  <c r="G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>
      <c r="B29" s="142" t="s">
        <v>268</v>
      </c>
      <c r="C29" s="138"/>
      <c r="D29" s="138"/>
      <c r="E29" s="138"/>
      <c r="F29" s="138"/>
      <c r="G29" s="138"/>
      <c r="P29" s="138" t="s">
        <v>280</v>
      </c>
      <c r="Q29" s="138"/>
      <c r="R29" s="138"/>
      <c r="S29" s="138"/>
      <c r="T29" s="138"/>
      <c r="U29" s="138"/>
      <c r="V29" s="138"/>
      <c r="W29" s="138"/>
      <c r="X29" s="138"/>
      <c r="Y29" s="138"/>
    </row>
    <row r="31" spans="2:30">
      <c r="B31" s="142" t="s">
        <v>261</v>
      </c>
      <c r="C31" s="138"/>
      <c r="D31" s="138"/>
      <c r="F31" s="138" t="s">
        <v>265</v>
      </c>
      <c r="G31" s="138"/>
      <c r="H31" s="138"/>
      <c r="J31" t="s">
        <v>272</v>
      </c>
    </row>
    <row r="32" spans="2:30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  <c r="J32" t="s">
        <v>269</v>
      </c>
    </row>
    <row r="33" spans="2:10">
      <c r="B33" s="162" t="s">
        <v>249</v>
      </c>
      <c r="C33" s="163" t="s">
        <v>275</v>
      </c>
      <c r="D33" s="163" t="s">
        <v>278</v>
      </c>
      <c r="F33" s="164" t="s">
        <v>249</v>
      </c>
      <c r="G33" s="163" t="s">
        <v>277</v>
      </c>
      <c r="H33" s="163" t="s">
        <v>279</v>
      </c>
      <c r="J33" t="s">
        <v>274</v>
      </c>
    </row>
    <row r="34" spans="2:10">
      <c r="B34" s="137" t="s">
        <v>226</v>
      </c>
      <c r="C34" s="144">
        <v>5.04</v>
      </c>
      <c r="D34" s="144">
        <v>5.05</v>
      </c>
      <c r="F34" s="137" t="s">
        <v>226</v>
      </c>
      <c r="G34" s="144">
        <v>4.97</v>
      </c>
      <c r="H34" s="144">
        <v>4.9800000000000004</v>
      </c>
      <c r="J34" t="s">
        <v>273</v>
      </c>
    </row>
    <row r="35" spans="2:10">
      <c r="B35" s="162" t="s">
        <v>266</v>
      </c>
      <c r="C35" s="165">
        <f>(C37/C36)</f>
        <v>0.68319999999999992</v>
      </c>
      <c r="D35" s="165">
        <f>D37/D36</f>
        <v>0.78988326848249024</v>
      </c>
      <c r="F35" s="162" t="s">
        <v>266</v>
      </c>
      <c r="G35" s="165">
        <f>G37/G36</f>
        <v>0.86</v>
      </c>
      <c r="H35" s="165">
        <f>H37/H36</f>
        <v>0.86</v>
      </c>
    </row>
    <row r="36" spans="2:10">
      <c r="B36" s="141" t="s">
        <v>267</v>
      </c>
      <c r="C36" s="144">
        <v>6.25</v>
      </c>
      <c r="D36" s="144">
        <v>5.14</v>
      </c>
      <c r="F36" s="141" t="s">
        <v>267</v>
      </c>
      <c r="G36" s="144">
        <v>0.5</v>
      </c>
      <c r="H36" s="144">
        <v>0.5</v>
      </c>
      <c r="J36" t="s">
        <v>270</v>
      </c>
    </row>
    <row r="37" spans="2:10">
      <c r="B37" s="141" t="s">
        <v>15</v>
      </c>
      <c r="C37" s="144">
        <v>4.2699999999999996</v>
      </c>
      <c r="D37" s="144">
        <v>4.0599999999999996</v>
      </c>
      <c r="F37" s="141" t="s">
        <v>15</v>
      </c>
      <c r="G37" s="144">
        <v>0.43</v>
      </c>
      <c r="H37" s="144">
        <v>0.43</v>
      </c>
      <c r="J37" t="s">
        <v>271</v>
      </c>
    </row>
    <row r="38" spans="2:10">
      <c r="B38" s="141" t="s">
        <v>276</v>
      </c>
      <c r="C38" s="145">
        <v>3.9</v>
      </c>
      <c r="D38" s="145">
        <v>4.04</v>
      </c>
      <c r="F38" s="141" t="s">
        <v>276</v>
      </c>
      <c r="G38" s="145">
        <v>2.88</v>
      </c>
      <c r="H38" s="145">
        <v>2.56</v>
      </c>
    </row>
    <row r="54" spans="1:22">
      <c r="A54" t="s">
        <v>299</v>
      </c>
    </row>
    <row r="56" spans="1:22">
      <c r="A56" t="s">
        <v>298</v>
      </c>
    </row>
    <row r="58" spans="1:22">
      <c r="B58" s="149" t="s">
        <v>283</v>
      </c>
      <c r="C58" s="149"/>
      <c r="D58" s="149"/>
      <c r="E58" s="149"/>
      <c r="F58" s="149"/>
      <c r="J58" s="149" t="s">
        <v>288</v>
      </c>
      <c r="K58" s="149"/>
      <c r="P58" s="149" t="s">
        <v>308</v>
      </c>
      <c r="Q58" s="149"/>
      <c r="R58" s="149"/>
      <c r="S58" s="149"/>
      <c r="T58" s="149"/>
      <c r="U58" s="149"/>
      <c r="V58" s="149"/>
    </row>
    <row r="60" spans="1:22">
      <c r="B60" s="148" t="s">
        <v>261</v>
      </c>
      <c r="C60" s="149"/>
      <c r="D60" s="149"/>
      <c r="F60" s="148" t="s">
        <v>265</v>
      </c>
      <c r="G60" s="149"/>
      <c r="H60" s="149"/>
      <c r="J60" s="149" t="s">
        <v>261</v>
      </c>
      <c r="K60" s="149"/>
    </row>
    <row r="61" spans="1:22">
      <c r="B61" s="150" t="s">
        <v>248</v>
      </c>
      <c r="C61" s="143">
        <v>2.5</v>
      </c>
      <c r="D61" s="143">
        <v>3.5</v>
      </c>
      <c r="F61" s="150" t="s">
        <v>248</v>
      </c>
      <c r="G61" s="143">
        <v>2.5</v>
      </c>
      <c r="H61" s="143">
        <v>3.5</v>
      </c>
      <c r="J61" s="150" t="s">
        <v>248</v>
      </c>
      <c r="K61" s="160">
        <v>2.5</v>
      </c>
    </row>
    <row r="62" spans="1:22">
      <c r="B62" s="151" t="s">
        <v>249</v>
      </c>
      <c r="C62" s="152">
        <v>0.5</v>
      </c>
      <c r="D62" s="152">
        <v>0.3</v>
      </c>
      <c r="F62" s="151" t="s">
        <v>249</v>
      </c>
      <c r="G62" s="152">
        <v>0.5</v>
      </c>
      <c r="H62" s="152">
        <v>0.3</v>
      </c>
      <c r="J62" s="150" t="s">
        <v>289</v>
      </c>
      <c r="K62" s="160">
        <v>0.5</v>
      </c>
    </row>
    <row r="63" spans="1:22" ht="28.8">
      <c r="B63" s="158" t="s">
        <v>284</v>
      </c>
      <c r="C63" s="157">
        <v>73</v>
      </c>
      <c r="D63" s="157">
        <v>35.700000000000003</v>
      </c>
      <c r="F63" s="158" t="s">
        <v>284</v>
      </c>
      <c r="G63" s="157">
        <v>8.8000000000000007</v>
      </c>
      <c r="H63" s="157">
        <v>3.9</v>
      </c>
      <c r="J63" s="158" t="s">
        <v>290</v>
      </c>
      <c r="K63" s="157">
        <v>1.85</v>
      </c>
    </row>
    <row r="64" spans="1:22" ht="57.6">
      <c r="B64" s="156" t="s">
        <v>285</v>
      </c>
      <c r="C64" s="154">
        <v>612</v>
      </c>
      <c r="D64" s="154">
        <v>592.9</v>
      </c>
      <c r="F64" s="156" t="s">
        <v>285</v>
      </c>
      <c r="G64" s="154">
        <v>250</v>
      </c>
      <c r="H64" s="155">
        <v>231.3</v>
      </c>
      <c r="J64" s="156" t="s">
        <v>292</v>
      </c>
      <c r="K64" s="154">
        <v>0.42</v>
      </c>
    </row>
    <row r="65" spans="2:20" ht="28.8">
      <c r="B65" s="159" t="s">
        <v>286</v>
      </c>
      <c r="C65" s="157">
        <v>277.89999999999998</v>
      </c>
      <c r="D65" s="157">
        <v>131.4</v>
      </c>
      <c r="F65" s="159" t="s">
        <v>286</v>
      </c>
      <c r="G65" s="157">
        <v>39.6</v>
      </c>
      <c r="H65" s="157">
        <v>19.8</v>
      </c>
      <c r="J65" s="159" t="s">
        <v>291</v>
      </c>
      <c r="K65" s="157">
        <v>3.66</v>
      </c>
    </row>
    <row r="66" spans="2:20" ht="57.6">
      <c r="B66" s="156" t="s">
        <v>287</v>
      </c>
      <c r="C66" s="153">
        <v>749.7</v>
      </c>
      <c r="D66" s="152">
        <v>558.6</v>
      </c>
      <c r="F66" s="156" t="s">
        <v>287</v>
      </c>
      <c r="G66" s="153">
        <v>211.7</v>
      </c>
      <c r="H66" s="152">
        <v>181.8</v>
      </c>
      <c r="J66" s="156" t="s">
        <v>293</v>
      </c>
      <c r="K66" s="153">
        <v>2.99</v>
      </c>
    </row>
    <row r="67" spans="2:20" ht="43.2">
      <c r="B67" s="161" t="s">
        <v>295</v>
      </c>
      <c r="C67" s="161" t="s">
        <v>297</v>
      </c>
      <c r="D67" s="161" t="s">
        <v>302</v>
      </c>
      <c r="E67" s="161"/>
      <c r="F67" s="161"/>
      <c r="G67" s="161" t="s">
        <v>300</v>
      </c>
      <c r="H67" s="161" t="s">
        <v>303</v>
      </c>
      <c r="I67" s="161"/>
      <c r="J67" s="161"/>
      <c r="K67" s="161" t="s">
        <v>306</v>
      </c>
    </row>
    <row r="68" spans="2:20" ht="43.2">
      <c r="B68" s="161" t="s">
        <v>294</v>
      </c>
      <c r="C68" s="161" t="s">
        <v>296</v>
      </c>
      <c r="D68" s="161" t="s">
        <v>305</v>
      </c>
      <c r="E68" s="161"/>
      <c r="F68" s="161"/>
      <c r="G68" s="161" t="s">
        <v>301</v>
      </c>
      <c r="H68" s="161" t="s">
        <v>304</v>
      </c>
      <c r="I68" s="161"/>
      <c r="J68" s="161"/>
      <c r="K68" s="161" t="s">
        <v>307</v>
      </c>
    </row>
    <row r="76" spans="2:20">
      <c r="B76" s="146" t="s">
        <v>282</v>
      </c>
      <c r="C76" s="147"/>
      <c r="D76" s="147"/>
      <c r="E76" s="147"/>
      <c r="P76" s="147" t="s">
        <v>313</v>
      </c>
      <c r="Q76" s="147"/>
      <c r="R76" s="147"/>
      <c r="S76" s="147"/>
      <c r="T76" s="147"/>
    </row>
    <row r="78" spans="2:20">
      <c r="B78" s="146" t="s">
        <v>281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</row>
    <row r="79" spans="2:20">
      <c r="B79" s="147" t="s">
        <v>311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</row>
    <row r="80" spans="2:20">
      <c r="B80" s="146" t="s">
        <v>312</v>
      </c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</row>
    <row r="81" spans="2:14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</row>
    <row r="82" spans="2:14">
      <c r="B82" s="146" t="s">
        <v>309</v>
      </c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</row>
    <row r="83" spans="2:14">
      <c r="B83" s="147" t="s">
        <v>310</v>
      </c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2026-10-01T22:44:23Z</dcterms:modified>
</cp:coreProperties>
</file>