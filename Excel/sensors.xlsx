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B21F84EB-DFAF-494E-886A-450862ED994E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9" l="1"/>
  <c r="D4" i="9"/>
  <c r="J6" i="2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<sst xmlns="http://schemas.openxmlformats.org/spreadsheetml/2006/main" count="205" uniqueCount="98">
  <si>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</si>
  <si>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</si>
  <si>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</si>
  <si>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</si>
  <si>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</si>
  <si>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</si>
  <si>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</si>
  <si>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</si>
  <si>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</si>
  <si>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</si>
  <si>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</si>
  <si>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</si>
  <si>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</si>
  <si>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</si>
  <si>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</si>
  <si>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</si>
  <si>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</si>
  <si>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</si>
  <si>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</si>
  <si>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</si>
  <si>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</si>
  <si>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</si>
  <si>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</si>
  <si>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</si>
  <si>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</si>
  <si>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</si>
  <si>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</si>
  <si>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</si>
  <si>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</si>
  <si>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</si>
  <si>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</si>
  <si>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</si>
  <si>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</si>
  <si>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</si>
  <si>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</si>
  <si>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</si>
  <si>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</si>
  <si>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</si>
  <si>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</si>
  <si>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</si>
  <si>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</si>
  <si>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</si>
  <si>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</si>
  <si>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</si>
  <si>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</si>
  <si>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</si>
  <si>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</si>
  <si>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</si>
  <si>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</si>
  <si>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</si>
  <si>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</si>
  <si>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</si>
  <si>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</si>
  <si>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</si>
  <si>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</si>
  <si>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</si>
  <si>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</si>
  <si>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</si>
  <si>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</si>
  <si>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</si>
  <si>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</si>
  <si>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</si>
  <si>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</si>
  <si>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</si>
  <si>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</si>
  <si>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</si>
  <si>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</si>
  <si>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</si>
  <si>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</si>
  <si>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</si>
  <si>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</si>
  <si>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</si>
  <si>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</si>
  <si>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</si>
  <si>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</si>
  <si>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</si>
  <si>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</si>
  <si>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</si>
  <si>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</si>
  <si>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</si>
  <si>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R3</t>
  </si>
  <si>
    <t>R4</t>
  </si>
  <si>
    <t>47 kΩ</t>
  </si>
  <si>
    <t>5.6 kΩ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</si>
  <si>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</si>
  <si>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</si>
  <si>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</si>
  <si>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</si>
  <si>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</si>
  <si>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</si>
  <si>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</si>
  <si>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</si>
  <si>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</si>
  <si>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</si>
  <si>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</si>
  <si>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</si>
  <si>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C_touch_sensor</t>
  </si>
  <si>
    <t>Test value for simulations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</si>
</sst>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82826</xdr:colOff>
      <xdr:row>14</xdr:row>
      <xdr:rowOff>82826</xdr:rowOff>
    </xdr:from>
    <xdr:to>
      <xdr:col>7</xdr:col>
      <xdr:colOff>1867315</xdr:colOff>
      <xdr:row>33</xdr:row>
      <xdr:rowOff>4556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5783" y="8282609"/>
          <a:ext cx="12220575" cy="841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22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38100</xdr:rowOff>
    </xdr:from>
    <xdr:to>
      <xdr:col>19</xdr:col>
      <xdr:colOff>171450</xdr:colOff>
      <xdr:row>14</xdr:row>
      <xdr:rowOff>285750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0" y="19431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435750</xdr:colOff>
      <xdr:row>19</xdr:row>
      <xdr:rowOff>16650</xdr:rowOff>
    </xdr:from>
    <xdr:to>
      <xdr:col>17</xdr:col>
      <xdr:colOff>559575</xdr:colOff>
      <xdr:row>29</xdr:row>
      <xdr:rowOff>226200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33050" y="9808350"/>
          <a:ext cx="4695825" cy="45910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12</xdr:row>
      <xdr:rowOff>76200</xdr:rowOff>
    </xdr:from>
    <xdr:to>
      <xdr:col>12</xdr:col>
      <xdr:colOff>962025</xdr:colOff>
      <xdr:row>29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0" y="6800850"/>
          <a:ext cx="13363575" cy="7639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1</xdr:row>
      <xdr:rowOff>95250</xdr:rowOff>
    </xdr:from>
    <xdr:to>
      <xdr:col>17</xdr:col>
      <xdr:colOff>114300</xdr:colOff>
      <xdr:row>8</xdr:row>
      <xdr:rowOff>361950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D31F69F-F3AE-7C2D-8AA9-21DAEFDE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15700" y="2000250"/>
          <a:ext cx="6972300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5" zoomScale="40" zoomScaleNormal="40" workbookViewId="0">
      <selection activeCell="M15" sqref="M15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O18" sqref="O18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Y15" sqref="Y15"/>
    </sheetView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zoomScale="40" zoomScaleNormal="40" workbookViewId="0">
      <selection activeCell="G38" sqref="G38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  <c r="I2" s="15" t="s">
        <v>87</v>
      </c>
      <c r="J2" s="15"/>
      <c r="K2" s="15"/>
      <c r="L2" s="15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15" t="s">
        <v>69</v>
      </c>
      <c r="J3" s="15"/>
      <c r="K3" s="15" t="s">
        <v>73</v>
      </c>
      <c r="L3" s="15"/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80</v>
      </c>
      <c r="J4" s="1" t="s">
        <v>81</v>
      </c>
      <c r="K4" s="1" t="s">
        <v>84</v>
      </c>
      <c r="L4" s="1" t="s">
        <v>85</v>
      </c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  <c r="I5" s="1" t="s">
        <v>50</v>
      </c>
      <c r="J5" s="1" t="s">
        <v>86</v>
      </c>
      <c r="K5" s="1" t="s">
        <v>50</v>
      </c>
      <c r="L5" s="1" t="s">
        <v>86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82</v>
      </c>
      <c r="E11" s="1" t="s">
        <v>77</v>
      </c>
      <c r="F11" s="9" t="s">
        <v>79</v>
      </c>
      <c r="G11" s="13" t="s">
        <v>82</v>
      </c>
      <c r="H11" s="1" t="s">
        <v>82</v>
      </c>
      <c r="I11" s="1" t="s">
        <v>82</v>
      </c>
      <c r="J11" s="9" t="s">
        <v>83</v>
      </c>
      <c r="K11" s="13" t="s">
        <v>82</v>
      </c>
      <c r="L11" s="1" t="s">
        <v>82</v>
      </c>
      <c r="M11" s="1" t="s">
        <v>83</v>
      </c>
    </row>
  </sheetData>
  <mergeCells count="15">
    <mergeCell ref="J9:K9"/>
    <mergeCell ref="L9:M9"/>
    <mergeCell ref="I2:L2"/>
    <mergeCell ref="I3:J3"/>
    <mergeCell ref="K3:L3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8"/>
  <sheetViews>
    <sheetView zoomScale="55" zoomScaleNormal="55" workbookViewId="0">
      <selection activeCell="D9" sqref="D9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90</v>
      </c>
      <c r="C3" s="9" t="s">
        <v>92</v>
      </c>
      <c r="D3" s="5">
        <v>16000</v>
      </c>
      <c r="E3" s="1" t="s">
        <v>91</v>
      </c>
    </row>
    <row r="4" spans="2:17" ht="35.25" customHeight="1" x14ac:dyDescent="0.3">
      <c r="B4" s="1" t="s">
        <v>93</v>
      </c>
      <c r="C4" s="1" t="s">
        <v>94</v>
      </c>
      <c r="D4" s="5">
        <f>D3 / 2</f>
        <v>8000</v>
      </c>
      <c r="E4" s="1" t="s">
        <v>91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88</v>
      </c>
      <c r="C6" s="1" t="s">
        <v>89</v>
      </c>
      <c r="D6" s="1">
        <f>1 / (2 * PI() * D5 *D4)</f>
        <v>4.232844231167429E-9</v>
      </c>
      <c r="E6" s="1" t="s">
        <v>95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8"/>
  <sheetViews>
    <sheetView tabSelected="1" zoomScale="55" zoomScaleNormal="55" workbookViewId="0">
      <selection activeCell="C3" sqref="C3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3">
      <c r="B4" s="1" t="s">
        <v>76</v>
      </c>
      <c r="C4" s="1"/>
      <c r="D4" s="1">
        <v>47000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80</v>
      </c>
      <c r="C5" s="1"/>
      <c r="D5" s="21">
        <v>10000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 t="s">
        <v>96</v>
      </c>
      <c r="C7" s="1" t="s">
        <v>97</v>
      </c>
      <c r="D7" s="21">
        <v>9.9999999999999995E-7</v>
      </c>
      <c r="E7" s="6" t="s">
        <v>95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2026-08-23T23:57:07Z</dcterms:modified>
  <cp:category/>
  <cp:contentStatus/>
</cp:coreProperties>
</file>