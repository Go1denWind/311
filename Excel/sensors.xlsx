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oa-my.sharepoint.com/personal/ctra157_uoa_auckland_ac_nz/Documents/Documents/GitHub/311/Excel/"/>
    </mc:Choice>
  </mc:AlternateContent>
  <xr:revisionPtr revIDLastSave="165" documentId="13_ncr:1_{F35946E6-0E9C-4E36-9C30-D1AE339D86FB}" xr6:coauthVersionLast="47" xr6:coauthVersionMax="47" xr10:uidLastSave="{66C118AF-E92A-435A-AB54-0F63D7562F70}"/>
  <bookViews>
    <workbookView xWindow="-120" yWindow="-120" windowWidth="29040" windowHeight="15720" activeTab="5" xr2:uid="{00000000-000D-0000-FFFF-FFFF00000000}"/>
  </bookViews>
  <sheets>
    <sheet name="Current Sensor" sheetId="1" r:id="rId1"/>
    <sheet name="Temp Sensor" sheetId="2" r:id="rId2"/>
    <sheet name="Voltage Sensor" sheetId="4" r:id="rId3"/>
    <sheet name="Window Comparator" sheetId="6" r:id="rId4"/>
    <sheet name="Anti-Aliasing Filter" sheetId="9" r:id="rId5"/>
    <sheet name="Touch Sensor Oscillator" sheetId="11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5" i="11" l="1"/>
  <c r="D14" i="11"/>
  <c r="D11" i="11"/>
  <c r="D10" i="11"/>
  <c r="D8" i="11"/>
  <c r="G15" i="6"/>
  <c r="F15" i="6"/>
  <c r="C15" i="6"/>
  <c r="B15" i="6"/>
  <c r="E15" i="6"/>
  <c r="D15" i="6"/>
  <c r="G5" i="6"/>
  <c r="F5" i="6"/>
  <c r="E5" i="6"/>
  <c r="D5" i="6"/>
  <c r="C5" i="6"/>
  <c r="B5" i="6"/>
  <c r="P5" i="2"/>
  <c r="D11" i="9"/>
  <c r="D10" i="9"/>
  <c r="J6" i="1"/>
  <c r="D6" i="9"/>
  <c r="D4" i="9"/>
  <c r="J6" i="2"/>
  <c r="J5" i="2"/>
  <c r="J8" i="2"/>
  <c r="P6" i="2" s="1"/>
  <c r="J7" i="2"/>
  <c r="J10" i="1"/>
  <c r="P7" i="1"/>
  <c r="P6" i="1"/>
  <c r="J7" i="1"/>
  <c r="J8" i="1" l="1"/>
  <c r="J12" i="1"/>
  <c r="J14" i="1" s="1"/>
  <c r="P9" i="1" s="1"/>
  <c r="J9" i="1"/>
  <c r="J11" i="1"/>
  <c r="J13" i="1" s="1"/>
  <c r="P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ctra157</author>
  </authors>
  <commentList>
    <comment ref="B8" authorId="0" shapeId="0" xr:uid="{A8C3D8B6-DE33-455B-B275-8AD8B41344DB}">
      <text>
        <r>
          <rPr>
            <b/>
            <sz val="9"/>
            <color indexed="81"/>
            <rFont val="Tahoma"/>
            <family val="2"/>
          </rPr>
          <t>ctra157:</t>
        </r>
        <r>
          <rPr>
            <sz val="9"/>
            <color indexed="81"/>
            <rFont val="Tahoma"/>
            <family val="2"/>
          </rPr>
          <t xml:space="preserve">
E12, E6, etc.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ctra157</author>
  </authors>
  <commentList>
    <comment ref="B10" authorId="0" shapeId="0" xr:uid="{221E7002-277B-4444-82F3-0C45745BDF2C}">
      <text>
        <r>
          <rPr>
            <b/>
            <sz val="9"/>
            <color indexed="81"/>
            <rFont val="Tahoma"/>
            <charset val="1"/>
          </rPr>
          <t>ctra157:</t>
        </r>
        <r>
          <rPr>
            <sz val="9"/>
            <color indexed="81"/>
            <rFont val="Tahoma"/>
            <charset val="1"/>
          </rPr>
          <t xml:space="preserve">
Assumes R1=R2.</t>
        </r>
      </text>
    </comment>
    <comment ref="B11" authorId="0" shapeId="0" xr:uid="{05951897-3565-4077-B2AF-9907F205D955}">
      <text>
        <r>
          <rPr>
            <b/>
            <sz val="9"/>
            <color indexed="81"/>
            <rFont val="Tahoma"/>
            <charset val="1"/>
          </rPr>
          <t>ctra157:</t>
        </r>
        <r>
          <rPr>
            <sz val="9"/>
            <color indexed="81"/>
            <rFont val="Tahoma"/>
            <charset val="1"/>
          </rPr>
          <t xml:space="preserve">
Assumes R1=R2.</t>
        </r>
      </text>
    </comment>
  </commentList>
</comments>
</file>

<file path=xl/sharedStrings.xml><?xml version="1.0" encoding="utf-8"?>
<sst xmlns="http://schemas.openxmlformats.org/spreadsheetml/2006/main" count="243" uniqueCount="118">
  <si>
    <t>Current Sense Amplifier</t>
  </si>
  <si>
    <t>ZXCT199QC</t>
  </si>
  <si>
    <t>Gain</t>
  </si>
  <si>
    <t>CMRR [dB]</t>
  </si>
  <si>
    <t>Note: Vi_min and Vi_max are the output voltage of the sensor</t>
  </si>
  <si>
    <t>Note: Absolute value of Vs used for error calculations. The % errors represent the equivalent differential input error due to finite CMRR.</t>
  </si>
  <si>
    <t>Parameter</t>
  </si>
  <si>
    <t>Equation</t>
  </si>
  <si>
    <t>Value</t>
  </si>
  <si>
    <t>Unit</t>
  </si>
  <si>
    <t>Vsc</t>
  </si>
  <si>
    <t>-</t>
  </si>
  <si>
    <t>V</t>
  </si>
  <si>
    <t>Vs_min</t>
  </si>
  <si>
    <t>Isc_min * Rs</t>
  </si>
  <si>
    <t>Ps_discharging</t>
  </si>
  <si>
    <t>(Isc_minimum)^2 * Rs</t>
  </si>
  <si>
    <t>W</t>
  </si>
  <si>
    <t>Isc_min (discharging)</t>
  </si>
  <si>
    <t>A</t>
  </si>
  <si>
    <t>Vs_max</t>
  </si>
  <si>
    <t>Isc_max * Rs</t>
  </si>
  <si>
    <t>Ps_charging</t>
  </si>
  <si>
    <t>(Isc_maximum)^2 * Rs</t>
  </si>
  <si>
    <t>Isc_max (charging)</t>
  </si>
  <si>
    <t>Vi_min</t>
  </si>
  <si>
    <t>Gain * Vs_min + Vref</t>
  </si>
  <si>
    <t>% Equivalent Error at Isc_max</t>
  </si>
  <si>
    <t>(Vcm_min * 100 %) / (|Vs_max| * 10 ^(CMRR / 20))</t>
  </si>
  <si>
    <t>%</t>
  </si>
  <si>
    <t>Vref</t>
  </si>
  <si>
    <t>Vi_max</t>
  </si>
  <si>
    <t>Gain * Vs_max + Vref</t>
  </si>
  <si>
    <t>% Equivalent Error at Isc_min</t>
  </si>
  <si>
    <t>(Vcm_max * 100 %) / (|Vs_min| * 10 ^(CMRR / 20))</t>
  </si>
  <si>
    <t>Rs</t>
  </si>
  <si>
    <t>Ω</t>
  </si>
  <si>
    <t>V1</t>
  </si>
  <si>
    <t>V1 = Vsc</t>
  </si>
  <si>
    <t>V0_min</t>
  </si>
  <si>
    <t>Vsc - Vs_max</t>
  </si>
  <si>
    <t>V0_max</t>
  </si>
  <si>
    <t>Vsc - Vs_min</t>
  </si>
  <si>
    <t>Vcm_min</t>
  </si>
  <si>
    <t>(V1 + V0_min) / 2</t>
  </si>
  <si>
    <t>Vcm_max</t>
  </si>
  <si>
    <t>(V1 + V0_max) / 3</t>
  </si>
  <si>
    <t>Temp Sensor</t>
  </si>
  <si>
    <t>B57164K0103J000 (NTC Thermistor)</t>
  </si>
  <si>
    <t>Resistance at 25°C</t>
  </si>
  <si>
    <t>10 kΩ</t>
  </si>
  <si>
    <t>Vcc</t>
  </si>
  <si>
    <t>V_temp_high (80°C)</t>
  </si>
  <si>
    <t>(Vcc * R_temp_high) / (R_temp_high + R1)</t>
  </si>
  <si>
    <t>P (-15°C)</t>
  </si>
  <si>
    <t>(I_low)^2 * (R1 + R_temp_low)</t>
  </si>
  <si>
    <t>R1</t>
  </si>
  <si>
    <t>Equal to thermistor at 25°C</t>
  </si>
  <si>
    <t>V_temp_low (-15°C)</t>
  </si>
  <si>
    <t>(Vcc * R_remp_low) / (R_temp_low + R1)</t>
  </si>
  <si>
    <t>P (80°C)</t>
  </si>
  <si>
    <t>(I_high)^2 * (R1 + R_temp_high)</t>
  </si>
  <si>
    <t>R_temp_low (-15°C)</t>
  </si>
  <si>
    <t>10 k * (R_t / R_25)</t>
  </si>
  <si>
    <t>I_low (-15°C)</t>
  </si>
  <si>
    <t>Vcc / (R_temp_low + R1)</t>
  </si>
  <si>
    <t>R_temp_high (80°C)</t>
  </si>
  <si>
    <t>I_high (80°C)</t>
  </si>
  <si>
    <t>Vcc / (R_temp_high + R1)</t>
  </si>
  <si>
    <t>V_THH</t>
  </si>
  <si>
    <t>Current Sensor</t>
  </si>
  <si>
    <t>Voltage Sensor</t>
  </si>
  <si>
    <t>Temperature Sensor</t>
  </si>
  <si>
    <t>V_THL</t>
  </si>
  <si>
    <t>Theoretical</t>
  </si>
  <si>
    <t>Pratical</t>
  </si>
  <si>
    <t>R2</t>
  </si>
  <si>
    <t>R3</t>
  </si>
  <si>
    <t>R4</t>
  </si>
  <si>
    <t>R5</t>
  </si>
  <si>
    <t>R6</t>
  </si>
  <si>
    <t>470 k</t>
  </si>
  <si>
    <t xml:space="preserve">Threshold Hysteresis = 100 mV </t>
  </si>
  <si>
    <t>C1</t>
  </si>
  <si>
    <t>1 / 2 *pi * R1 * f_cutoff</t>
  </si>
  <si>
    <t>f_sample</t>
  </si>
  <si>
    <t>Hz</t>
  </si>
  <si>
    <t>For an ADC clock of 200 kHz, at 13 cycles per sample</t>
  </si>
  <si>
    <t>f_cutoff</t>
  </si>
  <si>
    <t>f_sample / 2</t>
  </si>
  <si>
    <t>F</t>
  </si>
  <si>
    <t>Test value for simulations</t>
  </si>
  <si>
    <t>Vv_min</t>
  </si>
  <si>
    <t>Minimum super cap voltage</t>
  </si>
  <si>
    <t>Vv_max</t>
  </si>
  <si>
    <t>Maximum super cap voltage</t>
  </si>
  <si>
    <t>Chosen Parameters</t>
  </si>
  <si>
    <t>1 / (2*pi*R1*C1)</t>
  </si>
  <si>
    <t>(kΩ)</t>
  </si>
  <si>
    <t>Min (A)</t>
  </si>
  <si>
    <t>Max (A)</t>
  </si>
  <si>
    <t>Min (V)</t>
  </si>
  <si>
    <t>Max (V)</t>
  </si>
  <si>
    <t>Min (Ω)</t>
  </si>
  <si>
    <t>Max (Ω)</t>
  </si>
  <si>
    <r>
      <t>Max (</t>
    </r>
    <r>
      <rPr>
        <sz val="18"/>
        <color theme="1"/>
        <rFont val="Aptos Narrow"/>
        <family val="2"/>
      </rPr>
      <t>°</t>
    </r>
    <r>
      <rPr>
        <sz val="18"/>
        <color theme="1"/>
        <rFont val="Calibri"/>
        <family val="2"/>
      </rPr>
      <t>C)</t>
    </r>
  </si>
  <si>
    <r>
      <t>Min (</t>
    </r>
    <r>
      <rPr>
        <sz val="18"/>
        <color theme="1"/>
        <rFont val="Aptos Narrow"/>
        <family val="2"/>
      </rPr>
      <t>°</t>
    </r>
    <r>
      <rPr>
        <sz val="18"/>
        <color theme="1"/>
        <rFont val="Calibri"/>
        <family val="2"/>
      </rPr>
      <t>C)</t>
    </r>
  </si>
  <si>
    <t>(approximated from datasheet)</t>
  </si>
  <si>
    <t>C_touch_sensor (no touch)</t>
  </si>
  <si>
    <t>C_touch_sensor (yes touch)</t>
  </si>
  <si>
    <t>f_0 (no touch)</t>
  </si>
  <si>
    <t>f_0 (yes touch)</t>
  </si>
  <si>
    <t>1 / (-2 * ln(1/3) * R3 * C)</t>
  </si>
  <si>
    <t>T/C frequency</t>
  </si>
  <si>
    <t>no. clock cycles (no touch)</t>
  </si>
  <si>
    <t>no. clock cycles (yes touch)</t>
  </si>
  <si>
    <t>2 MHz / 1</t>
  </si>
  <si>
    <t>TC frequency / f_0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</si>
</sst>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E+00"/>
    <numFmt numFmtId="166" formatCode="0.000"/>
  </numFmts>
  <fonts count="18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Helvetica"/>
      <charset val="1"/>
    </font>
    <font>
      <b/>
      <sz val="16"/>
      <color theme="1"/>
      <name val="Calibri"/>
      <family val="2"/>
      <scheme val="minor"/>
    </font>
    <font>
      <b/>
      <sz val="16"/>
      <color rgb="FF242424"/>
      <name val="Calibri"/>
      <family val="2"/>
      <scheme val="minor"/>
    </font>
    <font>
      <sz val="18"/>
      <color theme="1"/>
      <name val="Calibri"/>
      <family val="2"/>
      <scheme val="minor"/>
    </font>
    <font>
      <sz val="17"/>
      <color rgb="FF000000"/>
      <name val="Helvetica"/>
      <charset val="1"/>
    </font>
    <font>
      <b/>
      <sz val="28"/>
      <color rgb="FFC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8"/>
      <color theme="1"/>
      <name val="Aptos Narrow"/>
      <family val="2"/>
    </font>
    <font>
      <sz val="18"/>
      <color theme="1"/>
      <name val="Calibri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4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right" vertical="center"/>
    </xf>
    <xf numFmtId="11" fontId="6" fillId="0" borderId="0" xfId="0" applyNumberFormat="1" applyFont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1450964</xdr:colOff>
      <xdr:row>14</xdr:row>
      <xdr:rowOff>307963</xdr:rowOff>
    </xdr:from>
    <xdr:to>
      <xdr:col>4</xdr:col>
      <xdr:colOff>103910</xdr:colOff>
      <xdr:row>29</xdr:row>
      <xdr:rowOff>443627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5B386D9-2BD7-471E-5C49-9D7ED902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50964" y="8551418"/>
          <a:ext cx="9684628" cy="68897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9</xdr:row>
      <xdr:rowOff>0</xdr:rowOff>
    </xdr:from>
    <xdr:to>
      <xdr:col>7</xdr:col>
      <xdr:colOff>1790700</xdr:colOff>
      <xdr:row>22</xdr:row>
      <xdr:rowOff>38100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2C36A2F-BE78-B6F1-8A67-F7B46D62F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0" y="6572250"/>
          <a:ext cx="11144250" cy="57340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</xdr:colOff>
      <xdr:row>8</xdr:row>
      <xdr:rowOff>95250</xdr:rowOff>
    </xdr:from>
    <xdr:to>
      <xdr:col>10</xdr:col>
      <xdr:colOff>152400</xdr:colOff>
      <xdr:row>21</xdr:row>
      <xdr:rowOff>342900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B454C22-703E-E42A-236D-E42CA9732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38450" y="5067300"/>
          <a:ext cx="11449050" cy="59436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359550</xdr:colOff>
      <xdr:row>1</xdr:row>
      <xdr:rowOff>92850</xdr:rowOff>
    </xdr:from>
    <xdr:to>
      <xdr:col>39</xdr:col>
      <xdr:colOff>7125</xdr:colOff>
      <xdr:row>11</xdr:row>
      <xdr:rowOff>302400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F5A5C0B-A9EE-BF20-75EF-01EF3DC68E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49113" y="1997850"/>
          <a:ext cx="4600575" cy="4733925"/>
        </a:xfrm>
        <a:prstGeom prst="rect">
          <a:avLst/>
        </a:prstGeom>
      </xdr:spPr>
    </xdr:pic>
    <xdr:clientData/>
  </xdr:twoCellAnchor>
  <xdr:twoCellAnchor editAs="oneCell">
    <xdr:from>
      <xdr:col>14</xdr:col>
      <xdr:colOff>552450</xdr:colOff>
      <xdr:row>1</xdr:row>
      <xdr:rowOff>76200</xdr:rowOff>
    </xdr:from>
    <xdr:to>
      <xdr:col>31</xdr:col>
      <xdr:colOff>128588</xdr:colOff>
      <xdr:row>18</xdr:row>
      <xdr:rowOff>266699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F28B648-1910-0276-5D8B-E83709E2A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16513" y="1981200"/>
          <a:ext cx="13101638" cy="788193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27709</xdr:colOff>
      <xdr:row>1</xdr:row>
      <xdr:rowOff>55418</xdr:rowOff>
    </xdr:from>
    <xdr:to>
      <xdr:col>17</xdr:col>
      <xdr:colOff>132484</xdr:colOff>
      <xdr:row>8</xdr:row>
      <xdr:rowOff>282286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A09BFFD-8358-3974-9E54-9931187A5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5309" y="1967345"/>
          <a:ext cx="6962775" cy="38290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110836</xdr:colOff>
      <xdr:row>0</xdr:row>
      <xdr:rowOff>1898073</xdr:rowOff>
    </xdr:from>
    <xdr:to>
      <xdr:col>17</xdr:col>
      <xdr:colOff>510886</xdr:colOff>
      <xdr:row>14</xdr:row>
      <xdr:rowOff>229466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FF338C-212C-9281-FBE3-BEBD0665B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88436" y="1898073"/>
          <a:ext cx="7258050" cy="6505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14"/>
  <sheetViews>
    <sheetView topLeftCell="A3" zoomScale="55" zoomScaleNormal="55" workbookViewId="0">
      <selection activeCell="I21" sqref="I21"/>
    </sheetView>
  </sheetViews>
  <sheetFormatPr defaultColWidth="9.140625" defaultRowHeight="35.25" customHeight="1" x14ac:dyDescent="0.25"/>
  <cols>
    <col min="1" max="1" width="40.7109375" style="2" customWidth="1"/>
    <col min="2" max="2" width="67.28515625" style="2" customWidth="1"/>
    <col min="3" max="3" width="38.7109375" style="2" customWidth="1"/>
    <col min="4" max="4" width="18.7109375" style="2" customWidth="1"/>
    <col min="5" max="7" width="9.140625" style="2"/>
    <col min="8" max="9" width="38.7109375" style="2" customWidth="1"/>
    <col min="10" max="10" width="18.7109375" style="2" customWidth="1"/>
    <col min="11" max="13" width="9.140625" style="2"/>
    <col min="14" max="14" width="47.7109375" style="2" customWidth="1"/>
    <col min="15" max="15" width="76.140625" style="2" customWidth="1"/>
    <col min="16" max="16" width="18.7109375" style="2" customWidth="1"/>
    <col min="17" max="16384" width="9.140625" style="2"/>
  </cols>
  <sheetData>
    <row r="1" spans="2:17" ht="150" customHeight="1" x14ac:dyDescent="0.25">
      <c r="B1" s="7"/>
    </row>
    <row r="2" spans="2:17" ht="35.25" customHeight="1" x14ac:dyDescent="0.25">
      <c r="B2" s="10" t="s">
        <v>0</v>
      </c>
      <c r="C2" s="10" t="s">
        <v>1</v>
      </c>
      <c r="D2" s="10" t="s">
        <v>2</v>
      </c>
      <c r="E2" s="10">
        <v>100</v>
      </c>
      <c r="F2" s="11"/>
      <c r="G2" s="10"/>
      <c r="H2" s="10" t="s">
        <v>3</v>
      </c>
      <c r="I2" s="10">
        <v>120</v>
      </c>
      <c r="J2" s="1"/>
      <c r="K2" s="1"/>
    </row>
    <row r="3" spans="2:17" ht="35.25" customHeight="1" x14ac:dyDescent="0.25">
      <c r="B3" s="1"/>
      <c r="C3" s="1"/>
      <c r="D3" s="1"/>
      <c r="E3" s="1"/>
      <c r="F3" s="1"/>
      <c r="G3" s="1"/>
      <c r="H3" s="1"/>
      <c r="I3" s="1"/>
      <c r="J3" s="1"/>
      <c r="K3" s="1"/>
    </row>
    <row r="4" spans="2:17" ht="73.5" customHeight="1" x14ac:dyDescent="0.35">
      <c r="B4" s="17"/>
      <c r="C4" s="17"/>
      <c r="D4" s="17"/>
      <c r="E4" s="17"/>
      <c r="F4" s="1"/>
      <c r="G4" s="1"/>
      <c r="H4" s="19" t="s">
        <v>4</v>
      </c>
      <c r="I4" s="20"/>
      <c r="J4" s="20"/>
      <c r="K4" s="20"/>
      <c r="N4" s="18" t="s">
        <v>5</v>
      </c>
      <c r="O4" s="18"/>
      <c r="P4" s="18"/>
      <c r="Q4" s="18"/>
    </row>
    <row r="5" spans="2:17" ht="35.25" customHeight="1" x14ac:dyDescent="0.25">
      <c r="B5" s="10" t="s">
        <v>6</v>
      </c>
      <c r="C5" s="10" t="s">
        <v>7</v>
      </c>
      <c r="D5" s="10" t="s">
        <v>8</v>
      </c>
      <c r="E5" s="10" t="s">
        <v>9</v>
      </c>
      <c r="F5" s="1"/>
      <c r="G5" s="1"/>
      <c r="H5" s="10" t="s">
        <v>6</v>
      </c>
      <c r="I5" s="10" t="s">
        <v>7</v>
      </c>
      <c r="J5" s="10" t="s">
        <v>8</v>
      </c>
      <c r="K5" s="10" t="s">
        <v>9</v>
      </c>
      <c r="N5" s="10" t="s">
        <v>6</v>
      </c>
      <c r="O5" s="10" t="s">
        <v>7</v>
      </c>
      <c r="P5" s="10" t="s">
        <v>8</v>
      </c>
      <c r="Q5" s="10" t="s">
        <v>9</v>
      </c>
    </row>
    <row r="6" spans="2:17" ht="35.25" customHeight="1" x14ac:dyDescent="0.25">
      <c r="B6" s="1" t="s">
        <v>10</v>
      </c>
      <c r="C6" s="1" t="s">
        <v>11</v>
      </c>
      <c r="D6" s="1">
        <v>3.5</v>
      </c>
      <c r="E6" s="3" t="s">
        <v>12</v>
      </c>
      <c r="F6" s="1"/>
      <c r="G6" s="1"/>
      <c r="H6" s="1" t="s">
        <v>13</v>
      </c>
      <c r="I6" s="1" t="s">
        <v>14</v>
      </c>
      <c r="J6" s="1">
        <f>D7*D10</f>
        <v>-1.7000000000000001E-2</v>
      </c>
      <c r="K6" s="1" t="s">
        <v>12</v>
      </c>
      <c r="N6" s="2" t="s">
        <v>15</v>
      </c>
      <c r="O6" s="2" t="s">
        <v>16</v>
      </c>
      <c r="P6" s="2">
        <f>POWER(D7,2)*D10</f>
        <v>4.2500000000000003E-3</v>
      </c>
      <c r="Q6" s="2" t="s">
        <v>17</v>
      </c>
    </row>
    <row r="7" spans="2:17" ht="35.25" customHeight="1" x14ac:dyDescent="0.25">
      <c r="B7" s="1" t="s">
        <v>18</v>
      </c>
      <c r="C7" s="1" t="s">
        <v>11</v>
      </c>
      <c r="D7" s="1">
        <v>-0.25</v>
      </c>
      <c r="E7" s="1" t="s">
        <v>19</v>
      </c>
      <c r="F7" s="1"/>
      <c r="G7" s="1"/>
      <c r="H7" s="1" t="s">
        <v>20</v>
      </c>
      <c r="I7" s="1" t="s">
        <v>21</v>
      </c>
      <c r="J7" s="1">
        <f>D8*D10</f>
        <v>1.7000000000000001E-2</v>
      </c>
      <c r="K7" s="1" t="s">
        <v>12</v>
      </c>
      <c r="N7" s="2" t="s">
        <v>22</v>
      </c>
      <c r="O7" s="2" t="s">
        <v>23</v>
      </c>
      <c r="P7" s="2">
        <f>POWER(D8,2)*D10</f>
        <v>4.2500000000000003E-3</v>
      </c>
      <c r="Q7" s="2" t="s">
        <v>17</v>
      </c>
    </row>
    <row r="8" spans="2:17" ht="35.25" customHeight="1" x14ac:dyDescent="0.25">
      <c r="B8" s="1" t="s">
        <v>24</v>
      </c>
      <c r="C8" s="1" t="s">
        <v>11</v>
      </c>
      <c r="D8" s="1">
        <v>0.25</v>
      </c>
      <c r="E8" s="1" t="s">
        <v>19</v>
      </c>
      <c r="F8" s="1"/>
      <c r="G8" s="1"/>
      <c r="H8" s="8" t="s">
        <v>25</v>
      </c>
      <c r="I8" s="8" t="s">
        <v>26</v>
      </c>
      <c r="J8" s="8">
        <f>E2*J6+D9</f>
        <v>0.79999999999999982</v>
      </c>
      <c r="K8" s="8" t="s">
        <v>12</v>
      </c>
      <c r="N8" s="2" t="s">
        <v>27</v>
      </c>
      <c r="O8" s="2" t="s">
        <v>28</v>
      </c>
      <c r="P8" s="2">
        <f>(J13 * 100)/(ABS(J7) * POWER(10, (I2 / 20)))</f>
        <v>2.0538235294117649E-2</v>
      </c>
      <c r="Q8" s="2" t="s">
        <v>29</v>
      </c>
    </row>
    <row r="9" spans="2:17" ht="35.25" customHeight="1" x14ac:dyDescent="0.25">
      <c r="B9" s="1" t="s">
        <v>30</v>
      </c>
      <c r="C9" s="1" t="s">
        <v>11</v>
      </c>
      <c r="D9" s="1">
        <v>2.5</v>
      </c>
      <c r="E9" s="1" t="s">
        <v>12</v>
      </c>
      <c r="F9" s="1"/>
      <c r="G9" s="1"/>
      <c r="H9" s="8" t="s">
        <v>31</v>
      </c>
      <c r="I9" s="8" t="s">
        <v>32</v>
      </c>
      <c r="J9" s="8">
        <f>E2*J7+D9</f>
        <v>4.2</v>
      </c>
      <c r="K9" s="8" t="s">
        <v>12</v>
      </c>
      <c r="N9" s="2" t="s">
        <v>33</v>
      </c>
      <c r="O9" s="2" t="s">
        <v>34</v>
      </c>
      <c r="P9" s="2">
        <f>(J14 * 100)/(ABS(J6) * POWER(10, (I2 / 20)))</f>
        <v>2.0638235294117645E-2</v>
      </c>
      <c r="Q9" s="2" t="s">
        <v>29</v>
      </c>
    </row>
    <row r="10" spans="2:17" ht="35.25" customHeight="1" x14ac:dyDescent="0.25">
      <c r="B10" s="1" t="s">
        <v>35</v>
      </c>
      <c r="C10" s="1" t="s">
        <v>11</v>
      </c>
      <c r="D10" s="1">
        <v>6.8000000000000005E-2</v>
      </c>
      <c r="E10" s="3" t="s">
        <v>36</v>
      </c>
      <c r="F10" s="1"/>
      <c r="G10" s="1"/>
      <c r="H10" s="2" t="s">
        <v>37</v>
      </c>
      <c r="I10" s="1" t="s">
        <v>38</v>
      </c>
      <c r="J10" s="1">
        <f>D6</f>
        <v>3.5</v>
      </c>
      <c r="K10" s="1" t="s">
        <v>12</v>
      </c>
    </row>
    <row r="11" spans="2:17" ht="35.25" customHeight="1" x14ac:dyDescent="0.25">
      <c r="B11" s="4"/>
      <c r="C11" s="4"/>
      <c r="D11" s="4"/>
      <c r="E11" s="4"/>
      <c r="H11" s="2" t="s">
        <v>39</v>
      </c>
      <c r="I11" s="1" t="s">
        <v>40</v>
      </c>
      <c r="J11" s="2">
        <f>D6 - J7</f>
        <v>3.4830000000000001</v>
      </c>
      <c r="K11" s="2" t="s">
        <v>12</v>
      </c>
    </row>
    <row r="12" spans="2:17" ht="35.25" customHeight="1" x14ac:dyDescent="0.25">
      <c r="B12" s="4"/>
      <c r="C12" s="4"/>
      <c r="D12" s="4"/>
      <c r="E12" s="4"/>
      <c r="H12" s="2" t="s">
        <v>41</v>
      </c>
      <c r="I12" s="1" t="s">
        <v>42</v>
      </c>
      <c r="J12" s="2">
        <f>D6 - J6</f>
        <v>3.5169999999999999</v>
      </c>
      <c r="K12" s="2" t="s">
        <v>12</v>
      </c>
    </row>
    <row r="13" spans="2:17" ht="35.25" customHeight="1" x14ac:dyDescent="0.25">
      <c r="H13" s="1" t="s">
        <v>43</v>
      </c>
      <c r="I13" s="2" t="s">
        <v>44</v>
      </c>
      <c r="J13" s="2">
        <f>(J10 + J11) / 2</f>
        <v>3.4915000000000003</v>
      </c>
      <c r="K13" s="2" t="s">
        <v>12</v>
      </c>
    </row>
    <row r="14" spans="2:17" ht="35.25" customHeight="1" x14ac:dyDescent="0.25">
      <c r="H14" s="2" t="s">
        <v>45</v>
      </c>
      <c r="I14" s="2" t="s">
        <v>46</v>
      </c>
      <c r="J14" s="2">
        <f>(J10 + J12) / 2</f>
        <v>3.5084999999999997</v>
      </c>
      <c r="K14" s="2" t="s">
        <v>12</v>
      </c>
    </row>
  </sheetData>
  <mergeCells count="3">
    <mergeCell ref="B4:E4"/>
    <mergeCell ref="N4:Q4"/>
    <mergeCell ref="H4:K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2C88-472F-40E6-9BB7-0CE3D1C9A840}">
  <dimension ref="B1:Q10"/>
  <sheetViews>
    <sheetView zoomScale="40" zoomScaleNormal="40" workbookViewId="0">
      <selection activeCell="P5" sqref="P5"/>
    </sheetView>
  </sheetViews>
  <sheetFormatPr defaultRowHeight="35.25" customHeight="1" x14ac:dyDescent="0.25"/>
  <cols>
    <col min="1" max="1" width="40.7109375" style="5" customWidth="1"/>
    <col min="2" max="2" width="58.7109375" style="5" customWidth="1"/>
    <col min="3" max="3" width="33.85546875" style="5" customWidth="1"/>
    <col min="4" max="4" width="17.5703125" style="5" customWidth="1"/>
    <col min="5" max="5" width="9.7109375" style="5" customWidth="1"/>
    <col min="6" max="7" width="9.140625" style="5" customWidth="1"/>
    <col min="8" max="8" width="34.42578125" style="5" customWidth="1"/>
    <col min="9" max="9" width="40.85546875" style="5" customWidth="1"/>
    <col min="10" max="10" width="25.42578125" style="5" customWidth="1"/>
    <col min="11" max="11" width="9.7109375" style="5" customWidth="1"/>
    <col min="12" max="13" width="9.140625" style="5" customWidth="1"/>
    <col min="14" max="14" width="34.42578125" style="5" customWidth="1"/>
    <col min="15" max="15" width="52.85546875" style="5" customWidth="1"/>
    <col min="16" max="16" width="17.5703125" style="5" customWidth="1"/>
    <col min="17" max="17" width="9.7109375" style="5" customWidth="1"/>
    <col min="18" max="16380" width="9.140625" style="5" customWidth="1"/>
    <col min="16381" max="16384" width="9.140625" style="5"/>
  </cols>
  <sheetData>
    <row r="1" spans="2:17" ht="150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57.75" customHeight="1" x14ac:dyDescent="0.25">
      <c r="B2" s="10" t="s">
        <v>47</v>
      </c>
      <c r="C2" s="12" t="s">
        <v>48</v>
      </c>
      <c r="D2" s="1"/>
      <c r="E2" s="1"/>
      <c r="F2" s="1"/>
      <c r="G2" s="1"/>
      <c r="H2" s="10" t="s">
        <v>49</v>
      </c>
      <c r="I2" s="1" t="s">
        <v>50</v>
      </c>
      <c r="J2" s="1"/>
      <c r="K2" s="1"/>
      <c r="L2" s="1"/>
      <c r="M2" s="1"/>
      <c r="N2" s="1"/>
      <c r="O2" s="1"/>
      <c r="P2" s="1"/>
      <c r="Q2" s="1"/>
    </row>
    <row r="4" spans="2:17" ht="35.25" customHeight="1" x14ac:dyDescent="0.25">
      <c r="B4" s="10" t="s">
        <v>6</v>
      </c>
      <c r="C4" s="10" t="s">
        <v>7</v>
      </c>
      <c r="D4" s="10" t="s">
        <v>8</v>
      </c>
      <c r="E4" s="10" t="s">
        <v>9</v>
      </c>
      <c r="F4" s="1"/>
      <c r="G4" s="1"/>
      <c r="H4" s="10" t="s">
        <v>6</v>
      </c>
      <c r="I4" s="10" t="s">
        <v>7</v>
      </c>
      <c r="J4" s="10" t="s">
        <v>8</v>
      </c>
      <c r="K4" s="10" t="s">
        <v>9</v>
      </c>
      <c r="L4" s="1"/>
      <c r="M4" s="1"/>
      <c r="N4" s="10" t="s">
        <v>6</v>
      </c>
      <c r="O4" s="10" t="s">
        <v>7</v>
      </c>
      <c r="P4" s="10" t="s">
        <v>8</v>
      </c>
      <c r="Q4" s="10" t="s">
        <v>9</v>
      </c>
    </row>
    <row r="5" spans="2:17" ht="69.75" customHeight="1" x14ac:dyDescent="0.25">
      <c r="B5" s="1" t="s">
        <v>51</v>
      </c>
      <c r="C5" s="1" t="s">
        <v>11</v>
      </c>
      <c r="D5" s="1">
        <v>5</v>
      </c>
      <c r="E5" s="1" t="s">
        <v>12</v>
      </c>
      <c r="F5" s="1"/>
      <c r="G5" s="1"/>
      <c r="H5" s="1" t="s">
        <v>52</v>
      </c>
      <c r="I5" s="9" t="s">
        <v>53</v>
      </c>
      <c r="J5" s="13">
        <f>(D5*D8) / (D8 + D6)</f>
        <v>0.48234953965141808</v>
      </c>
      <c r="K5" s="1" t="s">
        <v>12</v>
      </c>
      <c r="L5" s="1"/>
      <c r="M5" s="1"/>
      <c r="N5" s="1" t="s">
        <v>54</v>
      </c>
      <c r="O5" s="1" t="s">
        <v>55</v>
      </c>
      <c r="P5" s="14">
        <f>POWER(J7,2)*(D5+D7)</f>
        <v>2.3654745406422815E-4</v>
      </c>
      <c r="Q5" s="1" t="s">
        <v>17</v>
      </c>
    </row>
    <row r="6" spans="2:17" ht="69.75" customHeight="1" x14ac:dyDescent="0.25">
      <c r="B6" s="1" t="s">
        <v>56</v>
      </c>
      <c r="C6" s="9" t="s">
        <v>57</v>
      </c>
      <c r="D6" s="1">
        <v>10000</v>
      </c>
      <c r="E6" s="6" t="s">
        <v>36</v>
      </c>
      <c r="F6" s="1"/>
      <c r="G6" s="1"/>
      <c r="H6" s="1" t="s">
        <v>58</v>
      </c>
      <c r="I6" s="9" t="s">
        <v>59</v>
      </c>
      <c r="J6" s="13">
        <f>(D5*D7) / (D7 + D6)</f>
        <v>4.4709554544492649</v>
      </c>
      <c r="K6" s="1" t="s">
        <v>12</v>
      </c>
      <c r="L6" s="1"/>
      <c r="M6" s="1"/>
      <c r="N6" s="1" t="s">
        <v>60</v>
      </c>
      <c r="O6" s="1" t="s">
        <v>61</v>
      </c>
      <c r="P6" s="14">
        <f>POWER(J8, 2) * (D6+D8)</f>
        <v>2.258825230174291E-3</v>
      </c>
      <c r="Q6" s="1" t="s">
        <v>17</v>
      </c>
    </row>
    <row r="7" spans="2:17" ht="35.25" customHeight="1" x14ac:dyDescent="0.25">
      <c r="B7" s="1" t="s">
        <v>62</v>
      </c>
      <c r="C7" s="1" t="s">
        <v>63</v>
      </c>
      <c r="D7" s="1">
        <v>84510</v>
      </c>
      <c r="E7" s="6" t="s">
        <v>36</v>
      </c>
      <c r="F7" s="1"/>
      <c r="G7" s="1"/>
      <c r="H7" s="1" t="s">
        <v>64</v>
      </c>
      <c r="I7" s="1" t="s">
        <v>65</v>
      </c>
      <c r="J7" s="13">
        <f>D5 / (D7 + D6)</f>
        <v>5.290445455507354E-5</v>
      </c>
      <c r="K7" s="1" t="s">
        <v>19</v>
      </c>
      <c r="L7" s="1"/>
      <c r="M7" s="1"/>
      <c r="N7" s="1"/>
      <c r="O7" s="1"/>
      <c r="P7" s="1"/>
      <c r="Q7" s="1"/>
    </row>
    <row r="8" spans="2:17" ht="35.25" customHeight="1" x14ac:dyDescent="0.25">
      <c r="B8" s="1" t="s">
        <v>66</v>
      </c>
      <c r="C8" s="1" t="s">
        <v>63</v>
      </c>
      <c r="D8" s="1">
        <v>1067.7</v>
      </c>
      <c r="E8" s="1" t="s">
        <v>36</v>
      </c>
      <c r="F8" s="1"/>
      <c r="G8" s="1"/>
      <c r="H8" s="1" t="s">
        <v>67</v>
      </c>
      <c r="I8" s="1" t="s">
        <v>68</v>
      </c>
      <c r="J8" s="13">
        <f>D5 / (D8 + D6)</f>
        <v>4.5176504603485819E-4</v>
      </c>
      <c r="K8" s="1" t="s">
        <v>19</v>
      </c>
      <c r="L8" s="1"/>
      <c r="M8" s="1"/>
      <c r="N8" s="1"/>
      <c r="O8" s="1"/>
      <c r="P8" s="1"/>
      <c r="Q8" s="1"/>
    </row>
    <row r="9" spans="2:17" ht="35.25" customHeight="1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 ht="35.25" customHeight="1" x14ac:dyDescent="0.2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0"/>
      <c r="O10" s="10"/>
      <c r="P10" s="10"/>
      <c r="Q10" s="10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4C968-61FF-4F4E-9D6C-A1C9337DEECD}">
  <dimension ref="B1:Q8"/>
  <sheetViews>
    <sheetView zoomScale="40" zoomScaleNormal="40" workbookViewId="0">
      <selection activeCell="F4" sqref="F4"/>
    </sheetView>
  </sheetViews>
  <sheetFormatPr defaultColWidth="9.140625" defaultRowHeight="35.25" customHeight="1" x14ac:dyDescent="0.25"/>
  <cols>
    <col min="1" max="1" width="40.7109375" style="5" customWidth="1"/>
    <col min="2" max="2" width="58.7109375" style="5" customWidth="1"/>
    <col min="3" max="3" width="33.85546875" style="5" customWidth="1"/>
    <col min="4" max="4" width="17.5703125" style="5" customWidth="1"/>
    <col min="5" max="5" width="9.7109375" style="5" customWidth="1"/>
    <col min="6" max="16384" width="9.140625" style="5"/>
  </cols>
  <sheetData>
    <row r="1" spans="2:17" ht="150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25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5" customHeight="1" x14ac:dyDescent="0.25">
      <c r="B3" s="1" t="s">
        <v>92</v>
      </c>
      <c r="C3" s="9" t="s">
        <v>93</v>
      </c>
      <c r="D3" s="5">
        <v>2.5</v>
      </c>
      <c r="E3" s="1" t="s">
        <v>12</v>
      </c>
    </row>
    <row r="4" spans="2:17" ht="75" customHeight="1" x14ac:dyDescent="0.25">
      <c r="B4" s="1" t="s">
        <v>94</v>
      </c>
      <c r="C4" s="9" t="s">
        <v>95</v>
      </c>
      <c r="D4" s="1">
        <v>3.5</v>
      </c>
      <c r="E4" s="1" t="s">
        <v>12</v>
      </c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25">
      <c r="B5" s="1"/>
      <c r="C5" s="1"/>
      <c r="D5" s="1"/>
      <c r="E5" s="1"/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25">
      <c r="B6" s="1"/>
      <c r="C6" s="9"/>
      <c r="D6" s="1"/>
      <c r="E6" s="6"/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25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25">
      <c r="B8" s="1"/>
      <c r="C8" s="1"/>
      <c r="D8" s="1"/>
      <c r="E8" s="1"/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59B-30C5-40B9-A90E-89A9AC3DA184}">
  <dimension ref="A1:S17"/>
  <sheetViews>
    <sheetView zoomScale="70" zoomScaleNormal="70" workbookViewId="0">
      <selection activeCell="H17" sqref="H17"/>
    </sheetView>
  </sheetViews>
  <sheetFormatPr defaultColWidth="9.140625" defaultRowHeight="35.25" customHeight="1" x14ac:dyDescent="0.25"/>
  <cols>
    <col min="1" max="1" width="40.7109375" style="5" customWidth="1"/>
    <col min="2" max="20" width="16.7109375" style="5" customWidth="1"/>
    <col min="21" max="16384" width="9.140625" style="5"/>
  </cols>
  <sheetData>
    <row r="1" spans="1:19" ht="150" customHeight="1" x14ac:dyDescent="0.25"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</row>
    <row r="2" spans="1:19" ht="35.25" customHeight="1" x14ac:dyDescent="0.25">
      <c r="B2" s="21" t="s">
        <v>70</v>
      </c>
      <c r="C2" s="21"/>
      <c r="D2" s="21" t="s">
        <v>71</v>
      </c>
      <c r="E2" s="21"/>
      <c r="F2" s="21" t="s">
        <v>72</v>
      </c>
      <c r="G2" s="21"/>
      <c r="H2" s="10"/>
      <c r="I2" s="21" t="s">
        <v>82</v>
      </c>
      <c r="J2" s="21"/>
      <c r="K2" s="21"/>
      <c r="L2" s="21"/>
    </row>
    <row r="3" spans="1:19" ht="35.25" customHeight="1" x14ac:dyDescent="0.25">
      <c r="B3" s="10" t="s">
        <v>69</v>
      </c>
      <c r="C3" s="10" t="s">
        <v>73</v>
      </c>
      <c r="D3" s="10" t="s">
        <v>69</v>
      </c>
      <c r="E3" s="10" t="s">
        <v>73</v>
      </c>
      <c r="F3" s="10" t="s">
        <v>69</v>
      </c>
      <c r="G3" s="10" t="s">
        <v>73</v>
      </c>
      <c r="I3" s="21" t="s">
        <v>69</v>
      </c>
      <c r="J3" s="21"/>
      <c r="K3" s="21" t="s">
        <v>73</v>
      </c>
      <c r="L3" s="21"/>
    </row>
    <row r="4" spans="1:19" ht="35.25" customHeight="1" x14ac:dyDescent="0.25">
      <c r="A4" s="1" t="s">
        <v>74</v>
      </c>
      <c r="B4" s="1">
        <v>4.2</v>
      </c>
      <c r="C4" s="1">
        <v>0.8</v>
      </c>
      <c r="D4" s="1">
        <v>3.5</v>
      </c>
      <c r="E4" s="1">
        <v>2.5</v>
      </c>
      <c r="F4" s="1">
        <v>4.5</v>
      </c>
      <c r="G4" s="1">
        <v>0.5</v>
      </c>
      <c r="H4" s="10"/>
      <c r="I4" s="1" t="s">
        <v>77</v>
      </c>
      <c r="J4" s="1" t="s">
        <v>78</v>
      </c>
      <c r="K4" s="1" t="s">
        <v>79</v>
      </c>
      <c r="L4" s="1" t="s">
        <v>80</v>
      </c>
    </row>
    <row r="5" spans="1:19" ht="35.25" customHeight="1" x14ac:dyDescent="0.25">
      <c r="A5" s="1" t="s">
        <v>75</v>
      </c>
      <c r="B5" s="23">
        <f>5*C11/(B11+C11)</f>
        <v>4.2572463768115938</v>
      </c>
      <c r="C5" s="23">
        <f>5*E11/(D11+E11)</f>
        <v>0.74275362318840576</v>
      </c>
      <c r="D5" s="23">
        <f>5*G11/(F11+G11)</f>
        <v>3.5652173913043477</v>
      </c>
      <c r="E5" s="23">
        <f>5*I11/(H11+I11)</f>
        <v>2.5</v>
      </c>
      <c r="F5" s="23">
        <f>5*K11/(J11+K11)</f>
        <v>4.4676806083650185</v>
      </c>
      <c r="G5" s="23">
        <f>5*M11/(L11+M11)</f>
        <v>0.53231939163498099</v>
      </c>
      <c r="H5" s="1"/>
      <c r="I5" s="1" t="s">
        <v>50</v>
      </c>
      <c r="J5" s="1" t="s">
        <v>81</v>
      </c>
      <c r="K5" s="1" t="s">
        <v>50</v>
      </c>
      <c r="L5" s="1" t="s">
        <v>81</v>
      </c>
    </row>
    <row r="6" spans="1:19" ht="35.25" customHeight="1" x14ac:dyDescent="0.25">
      <c r="B6" s="1"/>
      <c r="C6" s="9"/>
      <c r="D6" s="1"/>
      <c r="E6" s="6"/>
      <c r="F6" s="1"/>
      <c r="G6" s="1"/>
      <c r="H6" s="1"/>
      <c r="K6" s="1"/>
      <c r="L6" s="1"/>
      <c r="M6" s="1"/>
      <c r="N6" s="1"/>
      <c r="O6" s="1"/>
      <c r="P6" s="14"/>
      <c r="Q6" s="1"/>
      <c r="R6" s="1"/>
      <c r="S6" s="1"/>
    </row>
    <row r="7" spans="1:19" ht="35.25" customHeight="1" x14ac:dyDescent="0.25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  <c r="R7" s="1"/>
      <c r="S7" s="1"/>
    </row>
    <row r="8" spans="1:19" ht="35.25" customHeight="1" x14ac:dyDescent="0.25">
      <c r="B8" s="21" t="s">
        <v>70</v>
      </c>
      <c r="C8" s="21"/>
      <c r="D8" s="21"/>
      <c r="E8" s="21"/>
      <c r="F8" s="21" t="s">
        <v>71</v>
      </c>
      <c r="G8" s="21"/>
      <c r="H8" s="21"/>
      <c r="I8" s="21"/>
      <c r="J8" s="21" t="s">
        <v>72</v>
      </c>
      <c r="K8" s="21"/>
      <c r="L8" s="21"/>
      <c r="M8" s="21"/>
      <c r="N8" s="1"/>
      <c r="O8" s="1"/>
      <c r="P8" s="1"/>
      <c r="Q8" s="1"/>
      <c r="R8" s="1"/>
      <c r="S8" s="1"/>
    </row>
    <row r="9" spans="1:19" ht="35.25" customHeight="1" x14ac:dyDescent="0.25">
      <c r="B9" s="21" t="s">
        <v>69</v>
      </c>
      <c r="C9" s="21"/>
      <c r="D9" s="21" t="s">
        <v>73</v>
      </c>
      <c r="E9" s="21"/>
      <c r="F9" s="21" t="s">
        <v>69</v>
      </c>
      <c r="G9" s="21"/>
      <c r="H9" s="21" t="s">
        <v>73</v>
      </c>
      <c r="I9" s="21"/>
      <c r="J9" s="21" t="s">
        <v>69</v>
      </c>
      <c r="K9" s="21"/>
      <c r="L9" s="21" t="s">
        <v>73</v>
      </c>
      <c r="M9" s="21"/>
    </row>
    <row r="10" spans="1:19" ht="35.25" customHeight="1" x14ac:dyDescent="0.25">
      <c r="B10" s="1" t="s">
        <v>56</v>
      </c>
      <c r="C10" s="1" t="s">
        <v>76</v>
      </c>
      <c r="D10" s="1" t="s">
        <v>56</v>
      </c>
      <c r="E10" s="1" t="s">
        <v>76</v>
      </c>
      <c r="F10" s="1" t="s">
        <v>56</v>
      </c>
      <c r="G10" s="1" t="s">
        <v>76</v>
      </c>
      <c r="H10" s="1" t="s">
        <v>56</v>
      </c>
      <c r="I10" s="1" t="s">
        <v>76</v>
      </c>
      <c r="J10" s="1" t="s">
        <v>56</v>
      </c>
      <c r="K10" s="1" t="s">
        <v>76</v>
      </c>
      <c r="L10" s="1" t="s">
        <v>56</v>
      </c>
      <c r="M10" s="1" t="s">
        <v>76</v>
      </c>
    </row>
    <row r="11" spans="1:19" ht="35.25" customHeight="1" x14ac:dyDescent="0.25">
      <c r="A11" s="1" t="s">
        <v>75</v>
      </c>
      <c r="B11" s="22">
        <v>8.1999999999999993</v>
      </c>
      <c r="C11" s="23">
        <v>47</v>
      </c>
      <c r="D11" s="23">
        <v>47</v>
      </c>
      <c r="E11" s="23">
        <v>8.1999999999999993</v>
      </c>
      <c r="F11" s="22">
        <v>3.3</v>
      </c>
      <c r="G11" s="23">
        <v>8.1999999999999993</v>
      </c>
      <c r="H11" s="23">
        <v>47</v>
      </c>
      <c r="I11" s="23">
        <v>47</v>
      </c>
      <c r="J11" s="22">
        <v>5.6</v>
      </c>
      <c r="K11" s="23">
        <v>47</v>
      </c>
      <c r="L11" s="23">
        <v>47</v>
      </c>
      <c r="M11" s="23">
        <v>5.6</v>
      </c>
      <c r="N11" s="1" t="s">
        <v>98</v>
      </c>
    </row>
    <row r="13" spans="1:19" ht="35.25" customHeight="1" x14ac:dyDescent="0.25">
      <c r="B13" s="21" t="s">
        <v>70</v>
      </c>
      <c r="C13" s="21"/>
      <c r="D13" s="21" t="s">
        <v>71</v>
      </c>
      <c r="E13" s="21"/>
      <c r="F13" s="21" t="s">
        <v>72</v>
      </c>
      <c r="G13" s="21"/>
    </row>
    <row r="14" spans="1:19" ht="35.25" customHeight="1" x14ac:dyDescent="0.25">
      <c r="B14" s="1" t="s">
        <v>99</v>
      </c>
      <c r="C14" s="1" t="s">
        <v>100</v>
      </c>
      <c r="D14" s="1" t="s">
        <v>101</v>
      </c>
      <c r="E14" s="1" t="s">
        <v>102</v>
      </c>
      <c r="F14" s="1" t="s">
        <v>103</v>
      </c>
      <c r="G14" s="1" t="s">
        <v>104</v>
      </c>
    </row>
    <row r="15" spans="1:19" ht="35.25" customHeight="1" x14ac:dyDescent="0.25">
      <c r="B15" s="5">
        <f>(C5-2.5)/(100*0.068)</f>
        <v>-0.25841858482523444</v>
      </c>
      <c r="C15" s="5">
        <f>(B5-2.5)/(100*0.068)</f>
        <v>0.25841858482523433</v>
      </c>
      <c r="D15" s="24">
        <f>E5</f>
        <v>2.5</v>
      </c>
      <c r="E15" s="24">
        <f>D5</f>
        <v>3.5652173913043477</v>
      </c>
      <c r="F15" s="5">
        <f>10000*G5/(5-G5)</f>
        <v>1191.4893617021276</v>
      </c>
      <c r="G15" s="5">
        <f>10000*F5/(5-F5)</f>
        <v>83928.571428571333</v>
      </c>
    </row>
    <row r="16" spans="1:19" ht="35.25" customHeight="1" x14ac:dyDescent="0.25">
      <c r="F16" s="1" t="s">
        <v>105</v>
      </c>
      <c r="G16" s="1" t="s">
        <v>106</v>
      </c>
    </row>
    <row r="17" spans="6:8" ht="35.25" customHeight="1" x14ac:dyDescent="0.25">
      <c r="F17" s="5">
        <v>77</v>
      </c>
      <c r="G17" s="5">
        <v>-10.1</v>
      </c>
      <c r="H17" s="25" t="s">
        <v>107</v>
      </c>
    </row>
  </sheetData>
  <mergeCells count="18">
    <mergeCell ref="B13:C13"/>
    <mergeCell ref="D13:E13"/>
    <mergeCell ref="F13:G13"/>
    <mergeCell ref="B2:C2"/>
    <mergeCell ref="D2:E2"/>
    <mergeCell ref="F2:G2"/>
    <mergeCell ref="J8:M8"/>
    <mergeCell ref="B9:C9"/>
    <mergeCell ref="B8:E8"/>
    <mergeCell ref="D9:E9"/>
    <mergeCell ref="F8:I8"/>
    <mergeCell ref="F9:G9"/>
    <mergeCell ref="H9:I9"/>
    <mergeCell ref="J9:K9"/>
    <mergeCell ref="L9:M9"/>
    <mergeCell ref="I2:L2"/>
    <mergeCell ref="I3:J3"/>
    <mergeCell ref="K3:L3"/>
  </mergeCells>
  <phoneticPr fontId="1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A2E54-9BDB-4BF6-80B7-49457B01E1DD}">
  <dimension ref="B1:Q11"/>
  <sheetViews>
    <sheetView zoomScale="55" zoomScaleNormal="55" workbookViewId="0">
      <selection activeCell="B8" sqref="B8"/>
    </sheetView>
  </sheetViews>
  <sheetFormatPr defaultColWidth="9.140625" defaultRowHeight="35.25" customHeight="1" x14ac:dyDescent="0.25"/>
  <cols>
    <col min="1" max="1" width="40.7109375" style="5" customWidth="1"/>
    <col min="2" max="2" width="34.42578125" style="5" customWidth="1"/>
    <col min="3" max="3" width="52.85546875" style="5" customWidth="1"/>
    <col min="4" max="4" width="17.5703125" style="5" customWidth="1"/>
    <col min="5" max="5" width="9.7109375" style="5" customWidth="1"/>
    <col min="6" max="16384" width="9.140625" style="5"/>
  </cols>
  <sheetData>
    <row r="1" spans="2:17" ht="150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25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3.900000000000006" customHeight="1" x14ac:dyDescent="0.25">
      <c r="B3" s="1" t="s">
        <v>85</v>
      </c>
      <c r="C3" s="9" t="s">
        <v>87</v>
      </c>
      <c r="D3" s="5">
        <v>16000</v>
      </c>
      <c r="E3" s="1" t="s">
        <v>86</v>
      </c>
    </row>
    <row r="4" spans="2:17" ht="35.25" customHeight="1" x14ac:dyDescent="0.25">
      <c r="B4" s="1" t="s">
        <v>88</v>
      </c>
      <c r="C4" s="1" t="s">
        <v>89</v>
      </c>
      <c r="D4" s="5">
        <f>D3 / 2</f>
        <v>8000</v>
      </c>
      <c r="E4" s="1" t="s">
        <v>86</v>
      </c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25">
      <c r="B5" s="1" t="s">
        <v>56</v>
      </c>
      <c r="C5" s="1" t="s">
        <v>11</v>
      </c>
      <c r="D5" s="5">
        <v>4700</v>
      </c>
      <c r="E5" s="1" t="s">
        <v>36</v>
      </c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25">
      <c r="B6" s="1" t="s">
        <v>83</v>
      </c>
      <c r="C6" s="1" t="s">
        <v>84</v>
      </c>
      <c r="D6" s="1">
        <f>1 / (2 * PI() * D5 *D4)</f>
        <v>4.232844231167429E-9</v>
      </c>
      <c r="E6" s="1" t="s">
        <v>90</v>
      </c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25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25">
      <c r="B8" s="10" t="s">
        <v>96</v>
      </c>
      <c r="C8" s="10" t="s">
        <v>7</v>
      </c>
      <c r="D8" s="10" t="s">
        <v>8</v>
      </c>
      <c r="E8" s="10" t="s">
        <v>9</v>
      </c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  <row r="9" spans="2:17" ht="35.25" customHeight="1" x14ac:dyDescent="0.25">
      <c r="B9" s="1" t="s">
        <v>56</v>
      </c>
      <c r="D9" s="5">
        <v>4700</v>
      </c>
      <c r="E9" s="1" t="s">
        <v>36</v>
      </c>
    </row>
    <row r="10" spans="2:17" ht="35.25" customHeight="1" x14ac:dyDescent="0.25">
      <c r="B10" s="1" t="s">
        <v>83</v>
      </c>
      <c r="D10" s="5">
        <f>0.0000000047</f>
        <v>4.6999999999999999E-9</v>
      </c>
      <c r="E10" s="1" t="s">
        <v>90</v>
      </c>
    </row>
    <row r="11" spans="2:17" ht="35.25" customHeight="1" x14ac:dyDescent="0.25">
      <c r="B11" s="1" t="s">
        <v>88</v>
      </c>
      <c r="C11" s="1" t="s">
        <v>97</v>
      </c>
      <c r="D11" s="5">
        <f>1/(2*PI()*D9*D10)</f>
        <v>7204.8412445403055</v>
      </c>
      <c r="E11" s="1" t="s">
        <v>86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F5C97-B701-49E8-8D17-B57E480030E6}">
  <dimension ref="B1:Q15"/>
  <sheetViews>
    <sheetView tabSelected="1" zoomScale="55" zoomScaleNormal="55" workbookViewId="0">
      <selection activeCell="F20" sqref="F20"/>
    </sheetView>
  </sheetViews>
  <sheetFormatPr defaultColWidth="9.140625" defaultRowHeight="35.25" customHeight="1" x14ac:dyDescent="0.25"/>
  <cols>
    <col min="1" max="1" width="40.7109375" style="5" customWidth="1"/>
    <col min="2" max="2" width="34.42578125" style="5" customWidth="1"/>
    <col min="3" max="3" width="52.85546875" style="5" customWidth="1"/>
    <col min="4" max="4" width="17.5703125" style="5" customWidth="1"/>
    <col min="5" max="5" width="9.7109375" style="5" customWidth="1"/>
    <col min="6" max="16384" width="9.140625" style="5"/>
  </cols>
  <sheetData>
    <row r="1" spans="2:17" ht="150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25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3.900000000000006" customHeight="1" x14ac:dyDescent="0.25">
      <c r="B3" s="1" t="s">
        <v>56</v>
      </c>
      <c r="C3" s="9"/>
      <c r="D3" s="9">
        <v>10000</v>
      </c>
      <c r="E3" s="1" t="s">
        <v>36</v>
      </c>
    </row>
    <row r="4" spans="2:17" ht="35.25" customHeight="1" x14ac:dyDescent="0.25">
      <c r="B4" s="1" t="s">
        <v>76</v>
      </c>
      <c r="C4" s="1"/>
      <c r="D4" s="1">
        <v>10000</v>
      </c>
      <c r="E4" s="1" t="s">
        <v>36</v>
      </c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25">
      <c r="B5" s="1" t="s">
        <v>77</v>
      </c>
      <c r="C5" s="1"/>
      <c r="D5" s="16">
        <v>470000</v>
      </c>
      <c r="E5" s="5" t="s">
        <v>36</v>
      </c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25">
      <c r="B6" s="1" t="s">
        <v>30</v>
      </c>
      <c r="C6" s="1"/>
      <c r="D6" s="1">
        <v>2.5</v>
      </c>
      <c r="E6" s="1" t="s">
        <v>12</v>
      </c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25">
      <c r="B7" s="26" t="s">
        <v>108</v>
      </c>
      <c r="C7" s="1" t="s">
        <v>91</v>
      </c>
      <c r="D7" s="16">
        <v>1E-10</v>
      </c>
      <c r="E7" s="6" t="s">
        <v>90</v>
      </c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25">
      <c r="B8" s="26" t="s">
        <v>109</v>
      </c>
      <c r="C8" s="1" t="s">
        <v>91</v>
      </c>
      <c r="D8" s="16">
        <f>D7*1.05</f>
        <v>1.0500000000000001E-10</v>
      </c>
      <c r="E8" s="1" t="s">
        <v>90</v>
      </c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  <row r="10" spans="2:17" ht="35.25" customHeight="1" x14ac:dyDescent="0.25">
      <c r="B10" s="1" t="s">
        <v>110</v>
      </c>
      <c r="C10" s="1" t="s">
        <v>112</v>
      </c>
      <c r="D10" s="27">
        <f>1/(-2*LN(1/3)*D5*D7)</f>
        <v>9683.3960279450785</v>
      </c>
      <c r="E10" s="1" t="s">
        <v>86</v>
      </c>
    </row>
    <row r="11" spans="2:17" ht="35.25" customHeight="1" x14ac:dyDescent="0.25">
      <c r="B11" s="1" t="s">
        <v>111</v>
      </c>
      <c r="C11" s="1" t="s">
        <v>112</v>
      </c>
      <c r="D11" s="27">
        <f>1/(-2*LN(1/3)*D5*D8)</f>
        <v>9222.2819313762629</v>
      </c>
      <c r="E11" s="1" t="s">
        <v>86</v>
      </c>
    </row>
    <row r="13" spans="2:17" ht="35.25" customHeight="1" x14ac:dyDescent="0.25">
      <c r="B13" s="1" t="s">
        <v>113</v>
      </c>
      <c r="C13" s="1" t="s">
        <v>116</v>
      </c>
      <c r="D13" s="16">
        <v>2000000</v>
      </c>
      <c r="E13" s="1" t="s">
        <v>86</v>
      </c>
    </row>
    <row r="14" spans="2:17" ht="35.25" customHeight="1" x14ac:dyDescent="0.25">
      <c r="B14" s="26" t="s">
        <v>114</v>
      </c>
      <c r="C14" s="1" t="s">
        <v>117</v>
      </c>
      <c r="D14" s="28">
        <f>D13/D10</f>
        <v>206.53911026960463</v>
      </c>
    </row>
    <row r="15" spans="2:17" ht="35.25" customHeight="1" x14ac:dyDescent="0.25">
      <c r="B15" s="26" t="s">
        <v>115</v>
      </c>
      <c r="C15" s="1" t="s">
        <v>117</v>
      </c>
      <c r="D15" s="28">
        <f>D13/D11</f>
        <v>216.86606578308491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Current Sensor</vt:lpstr>
      <vt:lpstr>Temp Sensor</vt:lpstr>
      <vt:lpstr>Voltage Sensor</vt:lpstr>
      <vt:lpstr>Window Comparator</vt:lpstr>
      <vt:lpstr>Anti-Aliasing Filter</vt:lpstr>
      <vt:lpstr>Touch Sensor Oscillator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Caleb Tran</cp:lastModifiedBy>
  <cp:revision/>
  <dcterms:created xsi:type="dcterms:W3CDTF">2026-08-14T06:23:50Z</dcterms:created>
  <dcterms:modified xsi:type="dcterms:W3CDTF">2026-08-25T00:02:57Z</dcterms:modified>
  <cp:category/>
  <cp:contentStatus/>
</cp:coreProperties>
</file>