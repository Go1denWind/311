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0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oa-my.sharepoint.com/personal/rbad163_uoa_auckland_ac_nz/Documents/University/Engineering/Stage 3/Semester 2/ELECTENG 311/"/>
    </mc:Choice>
  </mc:AlternateContent>
  <xr:revisionPtr revIDLastSave="682" documentId="11_E60897F41BE170836B02CE998F75CCDC64E183C8" xr6:coauthVersionLast="47" xr6:coauthVersionMax="47" xr10:uidLastSave="{D8C97358-58A2-40C7-9ECB-B330F5D84607}"/>
  <bookViews>
    <workbookView xWindow="-108" yWindow="-108" windowWidth="23256" windowHeight="12456" firstSheet="3" activeTab="3" xr2:uid="{00000000-000D-0000-FFFF-FFFF00000000}"/>
  </bookViews>
  <sheets>
    <sheet name="Current Sensor" sheetId="1" r:id="rId1"/>
    <sheet name="Temp Sensor" sheetId="2" r:id="rId2"/>
    <sheet name="Voltage Sensor" sheetId="4" r:id="rId3"/>
    <sheet name="Window Comparator" sheetId="6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6" i="2" l="1"/>
  <c r="J5" i="2"/>
  <c r="J8" i="2"/>
  <c r="P6" i="2" s="1"/>
  <c r="J7" i="2"/>
  <c r="P5" i="2" s="1"/>
  <c r="J10" i="1"/>
  <c r="P7" i="1"/>
  <c r="P6" i="1"/>
  <c r="J7" i="1"/>
  <c r="J6" i="1"/>
  <c r="J8" i="1" l="1"/>
  <c r="J12" i="1"/>
  <c r="J14" i="1" s="1"/>
  <c r="P9" i="1" s="1"/>
  <c r="J9" i="1"/>
  <c r="J11" i="1"/>
  <c r="J13" i="1" s="1"/>
  <c r="P8" i="1" s="1"/>
</calcChain>
</file>

<file path=xl/sharedStrings.xml><?xml version="1.0" encoding="utf-8"?>
<sst xmlns="http://schemas.openxmlformats.org/spreadsheetml/2006/main" count="119" uniqueCount="70">
  <si>
    <t>Current Sense Amplifier</t>
  </si>
  <si>
    <t>ZXCT199QC</t>
  </si>
  <si>
    <t>Gain</t>
  </si>
  <si>
    <t>CMRR [dB]</t>
  </si>
  <si>
    <t>Note: Vi_min and Vi_max are the output voltage of the sensor</t>
  </si>
  <si>
    <t>Note: Absolute value of Vs used for error calculations. The % errors represent the equivalent differential input error due to finite CMRR.</t>
  </si>
  <si>
    <t>Parameter</t>
  </si>
  <si>
    <t>Equation</t>
  </si>
  <si>
    <t>Value</t>
  </si>
  <si>
    <t>Unit</t>
  </si>
  <si>
    <t>Vsc</t>
  </si>
  <si>
    <t>-</t>
  </si>
  <si>
    <t>V</t>
  </si>
  <si>
    <t>Vs_min</t>
  </si>
  <si>
    <t>Isc_min * Rs</t>
  </si>
  <si>
    <t>Ps_discharging</t>
  </si>
  <si>
    <t>(Isc_minimum)^2 * Rs</t>
  </si>
  <si>
    <t>W</t>
  </si>
  <si>
    <t>Isc_min (discharging)</t>
  </si>
  <si>
    <t>A</t>
  </si>
  <si>
    <t>Vs_max</t>
  </si>
  <si>
    <t>Isc_max * Rs</t>
  </si>
  <si>
    <t>Ps_charging</t>
  </si>
  <si>
    <t>(Isc_maximum)^2 * Rs</t>
  </si>
  <si>
    <t>Isc_max (charging)</t>
  </si>
  <si>
    <t>Vi_min</t>
  </si>
  <si>
    <t>Gain * Vs_min + Vref</t>
  </si>
  <si>
    <t>% Equivalent Error at Isc_max</t>
  </si>
  <si>
    <t>(Vcm_min * 100 %) / (|Vs_max| * 10 ^(CMRR / 20))</t>
  </si>
  <si>
    <t>%</t>
  </si>
  <si>
    <t>Vref</t>
  </si>
  <si>
    <t>Vi_max</t>
  </si>
  <si>
    <t>Gain * Vs_max + Vref</t>
  </si>
  <si>
    <t>% Equivalent Error at Isc_min</t>
  </si>
  <si>
    <t>(Vcm_max * 100 %) / (|Vs_min| * 10 ^(CMRR / 20))</t>
  </si>
  <si>
    <t>Rs</t>
  </si>
  <si>
    <t>Ω</t>
  </si>
  <si>
    <t>V1</t>
  </si>
  <si>
    <t>V1 = Vsc</t>
  </si>
  <si>
    <t>V0_min</t>
  </si>
  <si>
    <t>Vsc - Vs_max</t>
  </si>
  <si>
    <t>V0_max</t>
  </si>
  <si>
    <t>Vsc - Vs_min</t>
  </si>
  <si>
    <t>Vcm_min</t>
  </si>
  <si>
    <t>(V1 + V0_min) / 2</t>
  </si>
  <si>
    <t>Vcm_max</t>
  </si>
  <si>
    <t>(V1 + V0_max) / 3</t>
  </si>
  <si>
    <t>Temp Sensor</t>
  </si>
  <si>
    <t>B57164K0103J000 (NTC Thermistor)</t>
  </si>
  <si>
    <t>Resistance at 25°C</t>
  </si>
  <si>
    <t>10 kΩ</t>
  </si>
  <si>
    <t>Vcc</t>
  </si>
  <si>
    <t>V_temp_high (80°C)</t>
  </si>
  <si>
    <t>(Vcc * R_temp_high) / (R_temp_high + R1)</t>
  </si>
  <si>
    <t>P (-15°C)</t>
  </si>
  <si>
    <t>(I_low)^2 * (R1 + R_temp_low)</t>
  </si>
  <si>
    <t>R1</t>
  </si>
  <si>
    <t>Equal to thermistor at 25°C</t>
  </si>
  <si>
    <t>V_temp_low (-15°C)</t>
  </si>
  <si>
    <t>(Vcc * R_remp_low) / (R_temp_low + R1)</t>
  </si>
  <si>
    <t>P (80°C)</t>
  </si>
  <si>
    <t>(I_high)^2 * (R1 + R_temp_high)</t>
  </si>
  <si>
    <t>R_temp_low (-15°C)</t>
  </si>
  <si>
    <t>10 k * (R_t / R_25)</t>
  </si>
  <si>
    <t>I_low (-15°C)</t>
  </si>
  <si>
    <t>Vcc / (R_temp_low + R1)</t>
  </si>
  <si>
    <t>R_temp_high (80°C)</t>
  </si>
  <si>
    <t>I_high (80°C)</t>
  </si>
  <si>
    <t>Vcc / (R_temp_high + R1)</t>
  </si>
  <si>
    <t>Note: Graph generated from window_comparator LTSpice 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</si>
</sst>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E+00"/>
  </numFmts>
  <fonts count="1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000000"/>
      <name val="Helvetica"/>
      <charset val="1"/>
    </font>
    <font>
      <b/>
      <sz val="16"/>
      <color theme="1"/>
      <name val="Calibri"/>
      <family val="2"/>
      <scheme val="minor"/>
    </font>
    <font>
      <b/>
      <sz val="16"/>
      <color rgb="FF242424"/>
      <name val="Calibri"/>
      <family val="2"/>
      <scheme val="minor"/>
    </font>
    <font>
      <sz val="18"/>
      <color theme="1"/>
      <name val="Calibri"/>
      <family val="2"/>
      <scheme val="minor"/>
    </font>
    <font>
      <sz val="17"/>
      <color rgb="FF000000"/>
      <name val="Helvetica"/>
      <charset val="1"/>
    </font>
    <font>
      <b/>
      <sz val="28"/>
      <color rgb="FFC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rgb="FF000000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wrapText="1"/>
    </xf>
    <xf numFmtId="0" fontId="4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60975</xdr:colOff>
      <xdr:row>10</xdr:row>
      <xdr:rowOff>127523</xdr:rowOff>
    </xdr:from>
    <xdr:to>
      <xdr:col>6</xdr:col>
      <xdr:colOff>546653</xdr:colOff>
      <xdr:row>24</xdr:row>
      <xdr:rowOff>443361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95F0D3-95D3-11F4-9EB0-F0A28BEFB9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11410" y="6670784"/>
          <a:ext cx="10292286" cy="657749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85725</xdr:colOff>
      <xdr:row>13</xdr:row>
      <xdr:rowOff>133350</xdr:rowOff>
    </xdr:from>
    <xdr:to>
      <xdr:col>6</xdr:col>
      <xdr:colOff>560614</xdr:colOff>
      <xdr:row>32</xdr:row>
      <xdr:rowOff>428625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434D82-0F20-D811-27E7-AE4F696DF7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00350" y="8572500"/>
          <a:ext cx="9075964" cy="88011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76200</xdr:colOff>
      <xdr:row>1</xdr:row>
      <xdr:rowOff>76200</xdr:rowOff>
    </xdr:from>
    <xdr:to>
      <xdr:col>17</xdr:col>
      <xdr:colOff>473529</xdr:colOff>
      <xdr:row>17</xdr:row>
      <xdr:rowOff>212271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4A2B483-C3D2-294B-A553-73E9C6638D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6686" y="522514"/>
          <a:ext cx="10325100" cy="72771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114300</xdr:colOff>
      <xdr:row>1</xdr:row>
      <xdr:rowOff>76200</xdr:rowOff>
    </xdr:from>
    <xdr:to>
      <xdr:col>18</xdr:col>
      <xdr:colOff>514350</xdr:colOff>
      <xdr:row>18</xdr:row>
      <xdr:rowOff>285750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E2F21D7-3F0A-9F11-F04D-DE5F031DDC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14650" y="1981200"/>
          <a:ext cx="11087100" cy="7658100"/>
        </a:xfrm>
        <a:prstGeom prst="rect">
          <a:avLst/>
        </a:prstGeom>
      </xdr:spPr>
    </xdr:pic>
    <xdr:clientData/>
  </xdr:twoCellAnchor>
  <xdr:twoCellAnchor editAs="oneCell">
    <xdr:from>
      <xdr:col>20</xdr:col>
      <xdr:colOff>76200</xdr:colOff>
      <xdr:row>1</xdr:row>
      <xdr:rowOff>76200</xdr:rowOff>
    </xdr:from>
    <xdr:to>
      <xdr:col>50</xdr:col>
      <xdr:colOff>400050</xdr:colOff>
      <xdr:row>24</xdr:row>
      <xdr:rowOff>38100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70BA941-AAA4-062D-D3F9-3403EDB25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820900" y="1981200"/>
          <a:ext cx="19183350" cy="100393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14"/>
  <sheetViews>
    <sheetView zoomScale="46" workbookViewId="0">
      <selection activeCell="H4" sqref="H4:K4"/>
    </sheetView>
  </sheetViews>
  <sheetFormatPr defaultColWidth="9.140625" defaultRowHeight="35.25" customHeight="1"/>
  <cols>
    <col min="1" max="1" width="40.7109375" style="2" customWidth="1"/>
    <col min="2" max="2" width="67.28515625" style="2" customWidth="1"/>
    <col min="3" max="3" width="38.7109375" style="2" customWidth="1"/>
    <col min="4" max="4" width="18.7109375" style="2" customWidth="1"/>
    <col min="5" max="7" width="9.140625" style="2"/>
    <col min="8" max="9" width="38.7109375" style="2" customWidth="1"/>
    <col min="10" max="10" width="18.7109375" style="2" customWidth="1"/>
    <col min="11" max="13" width="9.140625" style="2"/>
    <col min="14" max="14" width="47.7109375" style="2" customWidth="1"/>
    <col min="15" max="15" width="76.140625" style="2" customWidth="1"/>
    <col min="16" max="16" width="18.7109375" style="2" customWidth="1"/>
    <col min="17" max="16384" width="9.140625" style="2"/>
  </cols>
  <sheetData>
    <row r="1" spans="2:17" ht="150" customHeight="1">
      <c r="B1" s="7"/>
    </row>
    <row r="2" spans="2:17" ht="35.25" customHeight="1">
      <c r="B2" s="10" t="s">
        <v>0</v>
      </c>
      <c r="C2" s="10" t="s">
        <v>1</v>
      </c>
      <c r="D2" s="10" t="s">
        <v>2</v>
      </c>
      <c r="E2" s="10">
        <v>100</v>
      </c>
      <c r="F2" s="11"/>
      <c r="G2" s="10"/>
      <c r="H2" s="10" t="s">
        <v>3</v>
      </c>
      <c r="I2" s="10">
        <v>120</v>
      </c>
      <c r="J2" s="1"/>
      <c r="K2" s="1"/>
    </row>
    <row r="3" spans="2:17" ht="35.25" customHeight="1">
      <c r="B3" s="1"/>
      <c r="C3" s="1"/>
      <c r="D3" s="1"/>
      <c r="E3" s="1"/>
      <c r="F3" s="1"/>
      <c r="G3" s="1"/>
      <c r="H3" s="1"/>
      <c r="I3" s="1"/>
      <c r="J3" s="1"/>
      <c r="K3" s="1"/>
    </row>
    <row r="4" spans="2:17" ht="73.5" customHeight="1">
      <c r="B4" s="15"/>
      <c r="C4" s="15"/>
      <c r="D4" s="15"/>
      <c r="E4" s="15"/>
      <c r="F4" s="1"/>
      <c r="G4" s="1"/>
      <c r="H4" s="18" t="s">
        <v>4</v>
      </c>
      <c r="I4" s="17"/>
      <c r="J4" s="17"/>
      <c r="K4" s="17"/>
      <c r="N4" s="16" t="s">
        <v>5</v>
      </c>
      <c r="O4" s="16"/>
      <c r="P4" s="16"/>
      <c r="Q4" s="16"/>
    </row>
    <row r="5" spans="2:17" ht="35.25" customHeight="1">
      <c r="B5" s="10" t="s">
        <v>6</v>
      </c>
      <c r="C5" s="10" t="s">
        <v>7</v>
      </c>
      <c r="D5" s="10" t="s">
        <v>8</v>
      </c>
      <c r="E5" s="10" t="s">
        <v>9</v>
      </c>
      <c r="F5" s="1"/>
      <c r="G5" s="1"/>
      <c r="H5" s="10" t="s">
        <v>6</v>
      </c>
      <c r="I5" s="10" t="s">
        <v>7</v>
      </c>
      <c r="J5" s="10" t="s">
        <v>8</v>
      </c>
      <c r="K5" s="10" t="s">
        <v>9</v>
      </c>
      <c r="N5" s="10" t="s">
        <v>6</v>
      </c>
      <c r="O5" s="10" t="s">
        <v>7</v>
      </c>
      <c r="P5" s="10" t="s">
        <v>8</v>
      </c>
      <c r="Q5" s="10" t="s">
        <v>9</v>
      </c>
    </row>
    <row r="6" spans="2:17" ht="35.25" customHeight="1">
      <c r="B6" s="1" t="s">
        <v>10</v>
      </c>
      <c r="C6" s="1" t="s">
        <v>11</v>
      </c>
      <c r="D6" s="1">
        <v>3.5</v>
      </c>
      <c r="E6" s="3" t="s">
        <v>12</v>
      </c>
      <c r="F6" s="1"/>
      <c r="G6" s="1"/>
      <c r="H6" s="1" t="s">
        <v>13</v>
      </c>
      <c r="I6" s="1" t="s">
        <v>14</v>
      </c>
      <c r="J6" s="1">
        <f>D7*D10</f>
        <v>-1.7500000000000002E-2</v>
      </c>
      <c r="K6" s="1" t="s">
        <v>12</v>
      </c>
      <c r="N6" s="2" t="s">
        <v>15</v>
      </c>
      <c r="O6" s="2" t="s">
        <v>16</v>
      </c>
      <c r="P6" s="2">
        <f>POWER(D7,2)*D10</f>
        <v>3.0624999999999999E-2</v>
      </c>
      <c r="Q6" s="2" t="s">
        <v>17</v>
      </c>
    </row>
    <row r="7" spans="2:17" ht="35.25" customHeight="1">
      <c r="B7" s="1" t="s">
        <v>18</v>
      </c>
      <c r="C7" s="1" t="s">
        <v>11</v>
      </c>
      <c r="D7" s="1">
        <v>-1.75</v>
      </c>
      <c r="E7" s="1" t="s">
        <v>19</v>
      </c>
      <c r="F7" s="1"/>
      <c r="G7" s="1"/>
      <c r="H7" s="1" t="s">
        <v>20</v>
      </c>
      <c r="I7" s="1" t="s">
        <v>21</v>
      </c>
      <c r="J7" s="1">
        <f>D8*D10</f>
        <v>1.7500000000000002E-2</v>
      </c>
      <c r="K7" s="1" t="s">
        <v>12</v>
      </c>
      <c r="N7" s="2" t="s">
        <v>22</v>
      </c>
      <c r="O7" s="2" t="s">
        <v>23</v>
      </c>
      <c r="P7" s="2">
        <f>POWER(D8,2)*D10</f>
        <v>3.0624999999999999E-2</v>
      </c>
      <c r="Q7" s="2" t="s">
        <v>17</v>
      </c>
    </row>
    <row r="8" spans="2:17" ht="35.25" customHeight="1">
      <c r="B8" s="1" t="s">
        <v>24</v>
      </c>
      <c r="C8" s="1" t="s">
        <v>11</v>
      </c>
      <c r="D8" s="1">
        <v>1.75</v>
      </c>
      <c r="E8" s="1" t="s">
        <v>19</v>
      </c>
      <c r="F8" s="1"/>
      <c r="G8" s="1"/>
      <c r="H8" s="8" t="s">
        <v>25</v>
      </c>
      <c r="I8" s="8" t="s">
        <v>26</v>
      </c>
      <c r="J8" s="8">
        <f>E2*J6+D9</f>
        <v>0.74999999999999978</v>
      </c>
      <c r="K8" s="8" t="s">
        <v>12</v>
      </c>
      <c r="N8" s="2" t="s">
        <v>27</v>
      </c>
      <c r="O8" s="2" t="s">
        <v>28</v>
      </c>
      <c r="P8" s="2">
        <f>(J13 * 100)/(ABS(J7) * POWER(10, (I2 / 20)))</f>
        <v>1.9949999999999999E-2</v>
      </c>
      <c r="Q8" s="2" t="s">
        <v>29</v>
      </c>
    </row>
    <row r="9" spans="2:17" ht="35.25" customHeight="1">
      <c r="B9" s="1" t="s">
        <v>30</v>
      </c>
      <c r="C9" s="1" t="s">
        <v>11</v>
      </c>
      <c r="D9" s="1">
        <v>2.5</v>
      </c>
      <c r="E9" s="1" t="s">
        <v>12</v>
      </c>
      <c r="F9" s="1"/>
      <c r="G9" s="1"/>
      <c r="H9" s="8" t="s">
        <v>31</v>
      </c>
      <c r="I9" s="8" t="s">
        <v>32</v>
      </c>
      <c r="J9" s="8">
        <f>E2*J7+D9</f>
        <v>4.25</v>
      </c>
      <c r="K9" s="8" t="s">
        <v>12</v>
      </c>
      <c r="N9" s="2" t="s">
        <v>33</v>
      </c>
      <c r="O9" s="2" t="s">
        <v>34</v>
      </c>
      <c r="P9" s="2">
        <f>(J14 * 100)/(ABS(J6) * POWER(10, (I2 / 20)))</f>
        <v>2.0049999999999998E-2</v>
      </c>
      <c r="Q9" s="2" t="s">
        <v>29</v>
      </c>
    </row>
    <row r="10" spans="2:17" ht="35.25" customHeight="1">
      <c r="B10" s="1" t="s">
        <v>35</v>
      </c>
      <c r="C10" s="1" t="s">
        <v>11</v>
      </c>
      <c r="D10" s="1">
        <v>0.01</v>
      </c>
      <c r="E10" s="3" t="s">
        <v>36</v>
      </c>
      <c r="F10" s="1"/>
      <c r="G10" s="1"/>
      <c r="H10" s="2" t="s">
        <v>37</v>
      </c>
      <c r="I10" s="1" t="s">
        <v>38</v>
      </c>
      <c r="J10" s="1">
        <f>D6</f>
        <v>3.5</v>
      </c>
      <c r="K10" s="1" t="s">
        <v>12</v>
      </c>
    </row>
    <row r="11" spans="2:17" ht="35.25" customHeight="1">
      <c r="B11" s="4"/>
      <c r="C11" s="4"/>
      <c r="D11" s="4"/>
      <c r="E11" s="4"/>
      <c r="H11" s="2" t="s">
        <v>39</v>
      </c>
      <c r="I11" s="1" t="s">
        <v>40</v>
      </c>
      <c r="J11" s="2">
        <f>D6 - J7</f>
        <v>3.4824999999999999</v>
      </c>
      <c r="K11" s="2" t="s">
        <v>12</v>
      </c>
    </row>
    <row r="12" spans="2:17" ht="35.25" customHeight="1">
      <c r="B12" s="4"/>
      <c r="C12" s="4"/>
      <c r="D12" s="4"/>
      <c r="E12" s="4"/>
      <c r="H12" s="2" t="s">
        <v>41</v>
      </c>
      <c r="I12" s="1" t="s">
        <v>42</v>
      </c>
      <c r="J12" s="2">
        <f>D6 - J6</f>
        <v>3.5175000000000001</v>
      </c>
      <c r="K12" s="2" t="s">
        <v>12</v>
      </c>
    </row>
    <row r="13" spans="2:17" ht="35.25" customHeight="1">
      <c r="H13" s="1" t="s">
        <v>43</v>
      </c>
      <c r="I13" s="2" t="s">
        <v>44</v>
      </c>
      <c r="J13" s="2">
        <f>(J10 + J11) / 2</f>
        <v>3.49125</v>
      </c>
      <c r="K13" s="2" t="s">
        <v>12</v>
      </c>
    </row>
    <row r="14" spans="2:17" ht="35.25" customHeight="1">
      <c r="H14" s="2" t="s">
        <v>45</v>
      </c>
      <c r="I14" s="2" t="s">
        <v>46</v>
      </c>
      <c r="J14" s="2">
        <f>(J10 + J12) / 2</f>
        <v>3.50875</v>
      </c>
      <c r="K14" s="2" t="s">
        <v>12</v>
      </c>
    </row>
  </sheetData>
  <mergeCells count="3">
    <mergeCell ref="B4:E4"/>
    <mergeCell ref="N4:Q4"/>
    <mergeCell ref="H4:K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E2C88-472F-40E6-9BB7-0CE3D1C9A840}">
  <dimension ref="B1:Q10"/>
  <sheetViews>
    <sheetView zoomScale="40" zoomScaleNormal="40" workbookViewId="0">
      <selection activeCell="O19" sqref="O19"/>
    </sheetView>
  </sheetViews>
  <sheetFormatPr defaultRowHeight="35.25" customHeight="1"/>
  <cols>
    <col min="1" max="1" width="40.7109375" style="5" customWidth="1"/>
    <col min="2" max="2" width="58.7109375" style="5" customWidth="1"/>
    <col min="3" max="3" width="33.85546875" style="5" customWidth="1"/>
    <col min="4" max="4" width="17.5703125" style="5" customWidth="1"/>
    <col min="5" max="5" width="9.7109375" style="5" customWidth="1"/>
    <col min="6" max="7" width="9.140625" style="5" customWidth="1"/>
    <col min="8" max="8" width="34.42578125" style="5" customWidth="1"/>
    <col min="9" max="9" width="40.85546875" style="5" customWidth="1"/>
    <col min="10" max="10" width="25.42578125" style="5" customWidth="1"/>
    <col min="11" max="11" width="9.7109375" style="5" customWidth="1"/>
    <col min="12" max="13" width="9.140625" style="5" customWidth="1"/>
    <col min="14" max="14" width="34.42578125" style="5" customWidth="1"/>
    <col min="15" max="15" width="52.85546875" style="5" customWidth="1"/>
    <col min="16" max="16" width="17.5703125" style="5" customWidth="1"/>
    <col min="17" max="17" width="9.7109375" style="5" customWidth="1"/>
    <col min="18" max="16380" width="9.140625" style="5" customWidth="1"/>
    <col min="16381" max="16384" width="9.140625" style="5"/>
  </cols>
  <sheetData>
    <row r="1" spans="2:17" ht="150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2:17" ht="57.75" customHeight="1">
      <c r="B2" s="10" t="s">
        <v>47</v>
      </c>
      <c r="C2" s="12" t="s">
        <v>48</v>
      </c>
      <c r="D2" s="1"/>
      <c r="E2" s="1"/>
      <c r="F2" s="1"/>
      <c r="G2" s="1"/>
      <c r="H2" s="10" t="s">
        <v>49</v>
      </c>
      <c r="I2" s="1" t="s">
        <v>50</v>
      </c>
      <c r="J2" s="1"/>
      <c r="K2" s="1"/>
      <c r="L2" s="1"/>
      <c r="M2" s="1"/>
      <c r="N2" s="1"/>
      <c r="O2" s="1"/>
      <c r="P2" s="1"/>
      <c r="Q2" s="1"/>
    </row>
    <row r="4" spans="2:17" ht="35.25" customHeight="1">
      <c r="B4" s="10" t="s">
        <v>6</v>
      </c>
      <c r="C4" s="10" t="s">
        <v>7</v>
      </c>
      <c r="D4" s="10" t="s">
        <v>8</v>
      </c>
      <c r="E4" s="10" t="s">
        <v>9</v>
      </c>
      <c r="F4" s="1"/>
      <c r="G4" s="1"/>
      <c r="H4" s="10" t="s">
        <v>6</v>
      </c>
      <c r="I4" s="10" t="s">
        <v>7</v>
      </c>
      <c r="J4" s="10" t="s">
        <v>8</v>
      </c>
      <c r="K4" s="10" t="s">
        <v>9</v>
      </c>
      <c r="L4" s="1"/>
      <c r="M4" s="1"/>
      <c r="N4" s="10" t="s">
        <v>6</v>
      </c>
      <c r="O4" s="10" t="s">
        <v>7</v>
      </c>
      <c r="P4" s="10" t="s">
        <v>8</v>
      </c>
      <c r="Q4" s="10" t="s">
        <v>9</v>
      </c>
    </row>
    <row r="5" spans="2:17" ht="69.75" customHeight="1">
      <c r="B5" s="1" t="s">
        <v>51</v>
      </c>
      <c r="C5" s="1" t="s">
        <v>11</v>
      </c>
      <c r="D5" s="1">
        <v>5</v>
      </c>
      <c r="E5" s="1" t="s">
        <v>12</v>
      </c>
      <c r="F5" s="1"/>
      <c r="G5" s="1"/>
      <c r="H5" s="1" t="s">
        <v>52</v>
      </c>
      <c r="I5" s="9" t="s">
        <v>53</v>
      </c>
      <c r="J5" s="13">
        <f>(D5*D8) / (D8 + D6)</f>
        <v>0.48234953965141808</v>
      </c>
      <c r="K5" s="1" t="s">
        <v>12</v>
      </c>
      <c r="L5" s="1"/>
      <c r="M5" s="1"/>
      <c r="N5" s="1" t="s">
        <v>54</v>
      </c>
      <c r="O5" s="1" t="s">
        <v>55</v>
      </c>
      <c r="P5" s="14">
        <f>POWER(J7, 2) * (D5+D7)</f>
        <v>2.3654745406422815E-4</v>
      </c>
      <c r="Q5" s="1" t="s">
        <v>17</v>
      </c>
    </row>
    <row r="6" spans="2:17" ht="69.75" customHeight="1">
      <c r="B6" s="1" t="s">
        <v>56</v>
      </c>
      <c r="C6" s="9" t="s">
        <v>57</v>
      </c>
      <c r="D6" s="1">
        <v>10000</v>
      </c>
      <c r="E6" s="6" t="s">
        <v>36</v>
      </c>
      <c r="F6" s="1"/>
      <c r="G6" s="1"/>
      <c r="H6" s="1" t="s">
        <v>58</v>
      </c>
      <c r="I6" s="9" t="s">
        <v>59</v>
      </c>
      <c r="J6" s="13">
        <f>(D5*D7) / (D7 + D6)</f>
        <v>4.4709554544492649</v>
      </c>
      <c r="K6" s="1" t="s">
        <v>12</v>
      </c>
      <c r="L6" s="1"/>
      <c r="M6" s="1"/>
      <c r="N6" s="1" t="s">
        <v>60</v>
      </c>
      <c r="O6" s="1" t="s">
        <v>61</v>
      </c>
      <c r="P6" s="14">
        <f>POWER(J8, 2) * (D6+D8)</f>
        <v>2.258825230174291E-3</v>
      </c>
      <c r="Q6" s="1" t="s">
        <v>17</v>
      </c>
    </row>
    <row r="7" spans="2:17" ht="35.25" customHeight="1">
      <c r="B7" s="1" t="s">
        <v>62</v>
      </c>
      <c r="C7" s="1" t="s">
        <v>63</v>
      </c>
      <c r="D7" s="1">
        <v>84510</v>
      </c>
      <c r="E7" s="6" t="s">
        <v>36</v>
      </c>
      <c r="F7" s="1"/>
      <c r="G7" s="1"/>
      <c r="H7" s="1" t="s">
        <v>64</v>
      </c>
      <c r="I7" s="1" t="s">
        <v>65</v>
      </c>
      <c r="J7" s="13">
        <f>D5 / (D7 + D6)</f>
        <v>5.290445455507354E-5</v>
      </c>
      <c r="K7" s="1" t="s">
        <v>19</v>
      </c>
      <c r="L7" s="1"/>
      <c r="M7" s="1"/>
      <c r="N7" s="1"/>
      <c r="O7" s="1"/>
      <c r="P7" s="1"/>
      <c r="Q7" s="1"/>
    </row>
    <row r="8" spans="2:17" ht="35.25" customHeight="1">
      <c r="B8" s="1" t="s">
        <v>66</v>
      </c>
      <c r="C8" s="1" t="s">
        <v>63</v>
      </c>
      <c r="D8" s="1">
        <v>1067.7</v>
      </c>
      <c r="E8" s="1" t="s">
        <v>36</v>
      </c>
      <c r="F8" s="1"/>
      <c r="G8" s="1"/>
      <c r="H8" s="1" t="s">
        <v>67</v>
      </c>
      <c r="I8" s="1" t="s">
        <v>68</v>
      </c>
      <c r="J8" s="13">
        <f>D5 / (D8 + D6)</f>
        <v>4.5176504603485819E-4</v>
      </c>
      <c r="K8" s="1" t="s">
        <v>19</v>
      </c>
      <c r="L8" s="1"/>
      <c r="M8" s="1"/>
      <c r="N8" s="1"/>
      <c r="O8" s="1"/>
      <c r="P8" s="1"/>
      <c r="Q8" s="1"/>
    </row>
    <row r="9" spans="2:17" ht="35.25" customHeight="1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2:17" ht="35.25" customHeight="1"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4C968-61FF-4F4E-9D6C-A1C9337DEECD}">
  <dimension ref="B1:Q8"/>
  <sheetViews>
    <sheetView zoomScale="40" zoomScaleNormal="40" workbookViewId="0"/>
  </sheetViews>
  <sheetFormatPr defaultColWidth="9.140625" defaultRowHeight="35.25" customHeight="1"/>
  <cols>
    <col min="1" max="1" width="40.7109375" style="5" customWidth="1"/>
    <col min="2" max="16384" width="9.140625" style="5"/>
  </cols>
  <sheetData>
    <row r="1" spans="2:17" ht="150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2:17" ht="35.25" customHeight="1">
      <c r="B2" s="10"/>
      <c r="C2" s="12"/>
      <c r="D2" s="1"/>
      <c r="E2" s="1"/>
      <c r="F2" s="1"/>
      <c r="G2" s="1"/>
      <c r="H2" s="10"/>
      <c r="I2" s="1"/>
      <c r="J2" s="1"/>
      <c r="K2" s="1"/>
      <c r="L2" s="1"/>
      <c r="M2" s="1"/>
      <c r="N2" s="1"/>
      <c r="O2" s="1"/>
      <c r="P2" s="1"/>
      <c r="Q2" s="1"/>
    </row>
    <row r="4" spans="2:17" ht="35.25" customHeight="1">
      <c r="B4" s="10"/>
      <c r="C4" s="10"/>
      <c r="D4" s="10"/>
      <c r="E4" s="10"/>
      <c r="F4" s="1"/>
      <c r="G4" s="1"/>
      <c r="H4" s="10"/>
      <c r="I4" s="10"/>
      <c r="J4" s="10"/>
      <c r="K4" s="10"/>
      <c r="L4" s="1"/>
      <c r="M4" s="1"/>
      <c r="N4" s="10"/>
      <c r="O4" s="10"/>
      <c r="P4" s="10"/>
      <c r="Q4" s="10"/>
    </row>
    <row r="5" spans="2:17" ht="35.25" customHeight="1">
      <c r="B5" s="1"/>
      <c r="C5" s="1"/>
      <c r="D5" s="1"/>
      <c r="E5" s="1"/>
      <c r="F5" s="1"/>
      <c r="G5" s="1"/>
      <c r="H5" s="1"/>
      <c r="I5" s="9"/>
      <c r="J5" s="13"/>
      <c r="K5" s="1"/>
      <c r="L5" s="1"/>
      <c r="M5" s="1"/>
      <c r="N5" s="1"/>
      <c r="O5" s="1"/>
      <c r="P5" s="14"/>
      <c r="Q5" s="1"/>
    </row>
    <row r="6" spans="2:17" ht="35.25" customHeight="1">
      <c r="B6" s="1"/>
      <c r="C6" s="9"/>
      <c r="D6" s="1"/>
      <c r="E6" s="6"/>
      <c r="F6" s="1"/>
      <c r="G6" s="1"/>
      <c r="H6" s="1"/>
      <c r="I6" s="9"/>
      <c r="J6" s="13"/>
      <c r="K6" s="1"/>
      <c r="L6" s="1"/>
      <c r="M6" s="1"/>
      <c r="N6" s="1"/>
      <c r="O6" s="1"/>
      <c r="P6" s="14"/>
      <c r="Q6" s="1"/>
    </row>
    <row r="7" spans="2:17" ht="35.25" customHeight="1">
      <c r="B7" s="1"/>
      <c r="C7" s="1"/>
      <c r="D7" s="1"/>
      <c r="E7" s="6"/>
      <c r="F7" s="1"/>
      <c r="G7" s="1"/>
      <c r="H7" s="1"/>
      <c r="I7" s="1"/>
      <c r="J7" s="13"/>
      <c r="K7" s="1"/>
      <c r="L7" s="1"/>
      <c r="M7" s="1"/>
      <c r="N7" s="1"/>
      <c r="O7" s="1"/>
      <c r="P7" s="1"/>
      <c r="Q7" s="1"/>
    </row>
    <row r="8" spans="2:17" ht="35.25" customHeight="1">
      <c r="B8" s="1"/>
      <c r="C8" s="1"/>
      <c r="D8" s="1"/>
      <c r="E8" s="1"/>
      <c r="F8" s="1"/>
      <c r="G8" s="1"/>
      <c r="H8" s="1"/>
      <c r="I8" s="1"/>
      <c r="J8" s="13"/>
      <c r="K8" s="1"/>
      <c r="L8" s="1"/>
      <c r="M8" s="1"/>
      <c r="N8" s="1"/>
      <c r="O8" s="1"/>
      <c r="P8" s="1"/>
      <c r="Q8" s="1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3F59B-30C5-40B9-A90E-89A9AC3DA184}">
  <dimension ref="B1:S8"/>
  <sheetViews>
    <sheetView tabSelected="1" zoomScale="40" zoomScaleNormal="40" workbookViewId="0">
      <selection activeCell="B2" sqref="B2"/>
    </sheetView>
  </sheetViews>
  <sheetFormatPr defaultColWidth="9.140625" defaultRowHeight="35.25" customHeight="1"/>
  <cols>
    <col min="1" max="1" width="40.7109375" style="5" customWidth="1"/>
    <col min="2" max="16384" width="9.140625" style="5"/>
  </cols>
  <sheetData>
    <row r="1" spans="2:19" ht="150" customHeight="1">
      <c r="B1" s="19" t="s">
        <v>69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</row>
    <row r="2" spans="2:19" ht="35.25" customHeight="1">
      <c r="B2" s="10"/>
      <c r="C2" s="12"/>
      <c r="D2" s="1"/>
      <c r="E2" s="1"/>
      <c r="F2" s="1"/>
      <c r="G2" s="1"/>
      <c r="H2" s="10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4" spans="2:19" ht="35.25" customHeight="1">
      <c r="B4" s="10"/>
      <c r="C4" s="10"/>
      <c r="D4" s="10"/>
      <c r="E4" s="10"/>
      <c r="F4" s="1"/>
      <c r="G4" s="1"/>
      <c r="H4" s="10"/>
      <c r="I4" s="10"/>
      <c r="J4" s="10"/>
      <c r="K4" s="10"/>
      <c r="L4" s="1"/>
      <c r="M4" s="1"/>
      <c r="N4" s="10"/>
      <c r="O4" s="10"/>
      <c r="P4" s="10"/>
      <c r="Q4" s="10"/>
      <c r="R4" s="1"/>
      <c r="S4" s="1"/>
    </row>
    <row r="5" spans="2:19" ht="35.25" customHeight="1">
      <c r="B5" s="1"/>
      <c r="C5" s="1"/>
      <c r="D5" s="1"/>
      <c r="E5" s="1"/>
      <c r="F5" s="1"/>
      <c r="G5" s="1"/>
      <c r="H5" s="1"/>
      <c r="I5" s="9"/>
      <c r="J5" s="13"/>
      <c r="K5" s="1"/>
      <c r="L5" s="1"/>
      <c r="M5" s="1"/>
      <c r="N5" s="1"/>
      <c r="O5" s="1"/>
      <c r="P5" s="14"/>
      <c r="Q5" s="1"/>
      <c r="R5" s="1"/>
      <c r="S5" s="1"/>
    </row>
    <row r="6" spans="2:19" ht="35.25" customHeight="1">
      <c r="B6" s="1"/>
      <c r="C6" s="9"/>
      <c r="D6" s="1"/>
      <c r="E6" s="6"/>
      <c r="F6" s="1"/>
      <c r="G6" s="1"/>
      <c r="H6" s="1"/>
      <c r="I6" s="9"/>
      <c r="J6" s="13"/>
      <c r="K6" s="1"/>
      <c r="L6" s="1"/>
      <c r="M6" s="1"/>
      <c r="N6" s="1"/>
      <c r="O6" s="1"/>
      <c r="P6" s="14"/>
      <c r="Q6" s="1"/>
      <c r="R6" s="1"/>
      <c r="S6" s="1"/>
    </row>
    <row r="7" spans="2:19" ht="35.25" customHeight="1">
      <c r="B7" s="1"/>
      <c r="C7" s="1"/>
      <c r="D7" s="1"/>
      <c r="E7" s="6"/>
      <c r="F7" s="1"/>
      <c r="G7" s="1"/>
      <c r="H7" s="1"/>
      <c r="I7" s="1"/>
      <c r="J7" s="13"/>
      <c r="K7" s="1"/>
      <c r="L7" s="1"/>
      <c r="M7" s="1"/>
      <c r="N7" s="1"/>
      <c r="O7" s="1"/>
      <c r="P7" s="1"/>
      <c r="Q7" s="1"/>
      <c r="R7" s="1"/>
      <c r="S7" s="1"/>
    </row>
    <row r="8" spans="2:19" ht="35.25" customHeight="1">
      <c r="B8" s="1"/>
      <c r="C8" s="1"/>
      <c r="D8" s="1"/>
      <c r="E8" s="1"/>
      <c r="F8" s="1"/>
      <c r="G8" s="1"/>
      <c r="H8" s="1"/>
      <c r="I8" s="1"/>
      <c r="J8" s="13"/>
      <c r="K8" s="1"/>
      <c r="L8" s="1"/>
      <c r="M8" s="1"/>
      <c r="N8" s="1"/>
      <c r="O8" s="1"/>
      <c r="P8" s="1"/>
      <c r="Q8" s="1"/>
      <c r="R8" s="1"/>
      <c r="S8" s="1"/>
    </row>
  </sheetData>
  <mergeCells count="1">
    <mergeCell ref="B1:S1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b75eb9d1-7479-4f8a-9240-cc5b19dbbc64}" enabled="1" method="Standard" siteId="{d1b36e95-0d50-42e9-958f-b63fa906bea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Reuben Baddington</cp:lastModifiedBy>
  <cp:revision/>
  <dcterms:created xsi:type="dcterms:W3CDTF">2026-08-14T06:23:50Z</dcterms:created>
  <dcterms:modified xsi:type="dcterms:W3CDTF">2026-08-17T22:32:47Z</dcterms:modified>
  <cp:category/>
  <cp:contentStatus/>
</cp:coreProperties>
</file>