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versity\Engineering\Stage3\Semester2\ELECTENG 311\311\Excel\"/>
    </mc:Choice>
  </mc:AlternateContent>
  <xr:revisionPtr revIDLastSave="0" documentId="13_ncr:1_{58173807-0623-440E-AC11-3349AC02C7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Anti-Aliasing Filter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9" l="1"/>
  <c r="D4" i="9"/>
  <c r="J6" i="2"/>
  <c r="J5" i="2"/>
  <c r="J8" i="2"/>
  <c r="P6" i="2" s="1"/>
  <c r="J7" i="2"/>
  <c r="P5" i="2" s="1"/>
  <c r="J10" i="1"/>
  <c r="P7" i="1"/>
  <c r="P6" i="1"/>
  <c r="J7" i="1"/>
  <c r="J6" i="1"/>
  <c r="J8" i="1" l="1"/>
  <c r="J12" i="1"/>
  <c r="J14" i="1" s="1"/>
  <c r="P9" i="1" s="1"/>
  <c r="J9" i="1"/>
  <c r="J11" i="1"/>
  <c r="J13" i="1" s="1"/>
  <c r="P8" i="1" s="1"/>
</calcChain>
</file>

<file path=xl/sharedStrings.xml><?xml version="1.0" encoding="utf-8"?>
<sst xmlns="http://schemas.openxmlformats.org/spreadsheetml/2006/main" count="190" uniqueCount="96">
  <si>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</si>
  <si>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</si>
  <si>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</si>
  <si>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</si>
  <si>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</si>
  <si>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</si>
  <si>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</si>
  <si>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</si>
  <si>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</si>
  <si>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</si>
  <si>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</si>
  <si>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</si>
  <si>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</si>
  <si>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</si>
  <si>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</si>
  <si>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</si>
  <si>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</si>
  <si>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</si>
  <si>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</si>
  <si>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</si>
  <si>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</si>
  <si>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</si>
  <si>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</si>
  <si>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</si>
  <si>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</si>
  <si>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</si>
  <si>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</si>
  <si>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</si>
  <si>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</si>
  <si>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</si>
  <si>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</si>
  <si>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</si>
  <si>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</si>
  <si>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</si>
  <si>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</si>
  <si>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</si>
  <si>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</si>
  <si>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</si>
  <si>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</si>
  <si>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</si>
  <si>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</si>
  <si>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</si>
  <si>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</si>
  <si>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</si>
  <si>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</si>
  <si>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</si>
  <si>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</si>
  <si>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</si>
  <si>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</si>
  <si>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</si>
  <si>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</si>
  <si>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</si>
  <si>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</si>
  <si>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</si>
  <si>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</si>
  <si>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</si>
  <si>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</si>
  <si>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</si>
  <si>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</si>
  <si>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</si>
  <si>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</si>
  <si>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</si>
  <si>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R_temp_low (-15°C)</t>
  </si>
  <si>
    <t>10 k * (R_t / R_25)</t>
  </si>
  <si>
    <t>I_low (-15°C)</t>
  </si>
  <si>
    <t>Vcc / (R_temp_low + R1)</t>
  </si>
  <si>
    <t>R_temp_high (80°C)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</si>
  <si>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</si>
  <si>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</si>
  <si>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</si>
  <si>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</si>
  <si>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</si>
  <si>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</si>
  <si>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</si>
  <si>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</si>
  <si>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</si>
  <si>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</si>
  <si>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8.2 kΩ</t>
  </si>
  <si>
    <t>47 KΩ</t>
  </si>
  <si>
    <t>22 kΩ</t>
  </si>
  <si>
    <t>R3</t>
  </si>
  <si>
    <t>R4</t>
  </si>
  <si>
    <t>47 kΩ</t>
  </si>
  <si>
    <t>5.6 kΩ</t>
  </si>
  <si>
    <t>R5</t>
  </si>
  <si>
    <t>R6</t>
  </si>
  <si>
    <t>470 k</t>
  </si>
  <si>
    <t xml:space="preserve">Threshold Hysteresis = 100 mV </t>
  </si>
  <si>
    <t>C1</t>
  </si>
  <si>
    <t>1 / 2 *pi * R1 * f_cutoff</t>
  </si>
  <si>
    <t>f_sample</t>
  </si>
  <si>
    <t>Hz</t>
  </si>
  <si>
    <t>For an ADC clock of 200 kHz, at 13 cycles per sample</t>
  </si>
  <si>
    <t>f_cutoff</t>
  </si>
  <si>
    <t>f_sample / 2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</si>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</sst>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E+00"/>
  </numFmts>
  <fonts count="1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82826</xdr:colOff>
      <xdr:row>14</xdr:row>
      <xdr:rowOff>82826</xdr:rowOff>
    </xdr:from>
    <xdr:to>
      <xdr:col>7</xdr:col>
      <xdr:colOff>1867315</xdr:colOff>
      <xdr:row>33</xdr:row>
      <xdr:rowOff>4556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5B386D9-2BD7-471E-5C49-9D7ED902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5783" y="8282609"/>
          <a:ext cx="12220575" cy="8410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9</xdr:row>
      <xdr:rowOff>0</xdr:rowOff>
    </xdr:from>
    <xdr:to>
      <xdr:col>7</xdr:col>
      <xdr:colOff>1790700</xdr:colOff>
      <xdr:row>22</xdr:row>
      <xdr:rowOff>38100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2C36A2F-BE78-B6F1-8A67-F7B46D62F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0" y="6572250"/>
          <a:ext cx="11144250" cy="5734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1</xdr:row>
      <xdr:rowOff>38100</xdr:rowOff>
    </xdr:from>
    <xdr:to>
      <xdr:col>19</xdr:col>
      <xdr:colOff>171450</xdr:colOff>
      <xdr:row>14</xdr:row>
      <xdr:rowOff>285750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454C22-703E-E42A-236D-E42CA9732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19400" y="1943100"/>
          <a:ext cx="11449050" cy="5943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435750</xdr:colOff>
      <xdr:row>19</xdr:row>
      <xdr:rowOff>16650</xdr:rowOff>
    </xdr:from>
    <xdr:to>
      <xdr:col>17</xdr:col>
      <xdr:colOff>559575</xdr:colOff>
      <xdr:row>29</xdr:row>
      <xdr:rowOff>226200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33050" y="9808350"/>
          <a:ext cx="4695825" cy="45910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12</xdr:row>
      <xdr:rowOff>76200</xdr:rowOff>
    </xdr:from>
    <xdr:to>
      <xdr:col>12</xdr:col>
      <xdr:colOff>962025</xdr:colOff>
      <xdr:row>29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28B648-1910-0276-5D8B-E83709E2A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0" y="6800850"/>
          <a:ext cx="13363575" cy="76390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1</xdr:row>
      <xdr:rowOff>95250</xdr:rowOff>
    </xdr:from>
    <xdr:to>
      <xdr:col>17</xdr:col>
      <xdr:colOff>114300</xdr:colOff>
      <xdr:row>8</xdr:row>
      <xdr:rowOff>361950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D31F69F-F3AE-7C2D-8AA9-21DAEFDE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15700" y="2000250"/>
          <a:ext cx="6972300" cy="3829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topLeftCell="A5" zoomScale="40" zoomScaleNormal="40" workbookViewId="0">
      <selection activeCell="M15" sqref="M15"/>
    </sheetView>
  </sheetViews>
  <sheetFormatPr defaultColWidth="9.109375" defaultRowHeight="35.25" customHeight="1" x14ac:dyDescent="0.3"/>
  <cols>
    <col min="1" max="1" width="40.6640625" style="2" customWidth="1"/>
    <col min="2" max="2" width="67.33203125" style="2" customWidth="1"/>
    <col min="3" max="3" width="38.6640625" style="2" customWidth="1"/>
    <col min="4" max="4" width="18.6640625" style="2" customWidth="1"/>
    <col min="5" max="7" width="9.109375" style="2"/>
    <col min="8" max="9" width="38.6640625" style="2" customWidth="1"/>
    <col min="10" max="10" width="18.6640625" style="2" customWidth="1"/>
    <col min="11" max="13" width="9.109375" style="2"/>
    <col min="14" max="14" width="47.6640625" style="2" customWidth="1"/>
    <col min="15" max="15" width="76.109375" style="2" customWidth="1"/>
    <col min="16" max="16" width="18.6640625" style="2" customWidth="1"/>
    <col min="17" max="16384" width="9.109375" style="2"/>
  </cols>
  <sheetData>
    <row r="1" spans="2:17" ht="150" customHeight="1" x14ac:dyDescent="0.3">
      <c r="B1" s="7"/>
    </row>
    <row r="2" spans="2:17" ht="35.25" customHeight="1" x14ac:dyDescent="0.3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4">
      <c r="B4" s="16"/>
      <c r="C4" s="16"/>
      <c r="D4" s="16"/>
      <c r="E4" s="16"/>
      <c r="F4" s="1"/>
      <c r="G4" s="1"/>
      <c r="H4" s="18" t="s">
        <v>4</v>
      </c>
      <c r="I4" s="19"/>
      <c r="J4" s="19"/>
      <c r="K4" s="19"/>
      <c r="N4" s="17" t="s">
        <v>5</v>
      </c>
      <c r="O4" s="17"/>
      <c r="P4" s="17"/>
      <c r="Q4" s="17"/>
    </row>
    <row r="5" spans="2:17" ht="35.25" customHeight="1" x14ac:dyDescent="0.3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3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-1.7500000000000002E-2</v>
      </c>
      <c r="K6" s="1" t="s">
        <v>12</v>
      </c>
      <c r="N6" s="2" t="s">
        <v>15</v>
      </c>
      <c r="O6" s="2" t="s">
        <v>16</v>
      </c>
      <c r="P6" s="2">
        <f>POWER(D7,2)*D10</f>
        <v>3.0624999999999999E-2</v>
      </c>
      <c r="Q6" s="2" t="s">
        <v>17</v>
      </c>
    </row>
    <row r="7" spans="2:17" ht="35.25" customHeight="1" x14ac:dyDescent="0.3">
      <c r="B7" s="1" t="s">
        <v>18</v>
      </c>
      <c r="C7" s="1" t="s">
        <v>11</v>
      </c>
      <c r="D7" s="1">
        <v>-1.75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1.7500000000000002E-2</v>
      </c>
      <c r="K7" s="1" t="s">
        <v>12</v>
      </c>
      <c r="N7" s="2" t="s">
        <v>22</v>
      </c>
      <c r="O7" s="2" t="s">
        <v>23</v>
      </c>
      <c r="P7" s="2">
        <f>POWER(D8,2)*D10</f>
        <v>3.0624999999999999E-2</v>
      </c>
      <c r="Q7" s="2" t="s">
        <v>17</v>
      </c>
    </row>
    <row r="8" spans="2:17" ht="35.25" customHeight="1" x14ac:dyDescent="0.3">
      <c r="B8" s="1" t="s">
        <v>24</v>
      </c>
      <c r="C8" s="1" t="s">
        <v>11</v>
      </c>
      <c r="D8" s="1">
        <v>1.75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0.74999999999999978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1.9949999999999999E-2</v>
      </c>
      <c r="Q8" s="2" t="s">
        <v>29</v>
      </c>
    </row>
    <row r="9" spans="2:17" ht="35.25" customHeight="1" x14ac:dyDescent="0.3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4.25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2.0049999999999998E-2</v>
      </c>
      <c r="Q9" s="2" t="s">
        <v>29</v>
      </c>
    </row>
    <row r="10" spans="2:17" ht="35.25" customHeight="1" x14ac:dyDescent="0.3">
      <c r="B10" s="1" t="s">
        <v>35</v>
      </c>
      <c r="C10" s="1" t="s">
        <v>11</v>
      </c>
      <c r="D10" s="1">
        <v>0.01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3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3.4824999999999999</v>
      </c>
      <c r="K11" s="2" t="s">
        <v>12</v>
      </c>
    </row>
    <row r="12" spans="2:17" ht="35.25" customHeight="1" x14ac:dyDescent="0.3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3.5175000000000001</v>
      </c>
      <c r="K12" s="2" t="s">
        <v>12</v>
      </c>
    </row>
    <row r="13" spans="2:17" ht="35.25" customHeight="1" x14ac:dyDescent="0.3">
      <c r="H13" s="1" t="s">
        <v>43</v>
      </c>
      <c r="I13" s="2" t="s">
        <v>44</v>
      </c>
      <c r="J13" s="2">
        <f>(J10 + J11) / 2</f>
        <v>3.49125</v>
      </c>
      <c r="K13" s="2" t="s">
        <v>12</v>
      </c>
    </row>
    <row r="14" spans="2:17" ht="35.25" customHeight="1" x14ac:dyDescent="0.3">
      <c r="H14" s="2" t="s">
        <v>45</v>
      </c>
      <c r="I14" s="2" t="s">
        <v>46</v>
      </c>
      <c r="J14" s="2">
        <f>(J10 + J12) / 2</f>
        <v>3.50875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0"/>
  <sheetViews>
    <sheetView tabSelected="1" zoomScale="40" zoomScaleNormal="40" workbookViewId="0">
      <selection activeCell="N10" sqref="N10:Q10"/>
    </sheetView>
  </sheetViews>
  <sheetFormatPr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7" width="9.109375" style="5" customWidth="1"/>
    <col min="8" max="8" width="34.44140625" style="5" customWidth="1"/>
    <col min="9" max="9" width="40.88671875" style="5" customWidth="1"/>
    <col min="10" max="10" width="25.44140625" style="5" customWidth="1"/>
    <col min="11" max="11" width="9.6640625" style="5" customWidth="1"/>
    <col min="12" max="13" width="9.109375" style="5" customWidth="1"/>
    <col min="14" max="14" width="34.44140625" style="5" customWidth="1"/>
    <col min="15" max="15" width="52.88671875" style="5" customWidth="1"/>
    <col min="16" max="16" width="17.5546875" style="5" customWidth="1"/>
    <col min="17" max="17" width="9.6640625" style="5" customWidth="1"/>
    <col min="18" max="16380" width="9.109375" style="5" customWidth="1"/>
    <col min="16381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3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3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0.48234953965141808</v>
      </c>
      <c r="K5" s="1" t="s">
        <v>12</v>
      </c>
      <c r="L5" s="1"/>
      <c r="M5" s="1"/>
      <c r="N5" s="1" t="s">
        <v>54</v>
      </c>
      <c r="O5" s="1" t="s">
        <v>55</v>
      </c>
      <c r="P5" s="14">
        <f>POWER(J7, 2) * (D5+D7)</f>
        <v>2.3654745406422815E-4</v>
      </c>
      <c r="Q5" s="1" t="s">
        <v>17</v>
      </c>
    </row>
    <row r="6" spans="2:17" ht="69.75" customHeight="1" x14ac:dyDescent="0.3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4.4709554544492649</v>
      </c>
      <c r="K6" s="1" t="s">
        <v>12</v>
      </c>
      <c r="L6" s="1"/>
      <c r="M6" s="1"/>
      <c r="N6" s="1" t="s">
        <v>60</v>
      </c>
      <c r="O6" s="1" t="s">
        <v>61</v>
      </c>
      <c r="P6" s="14">
        <f>POWER(J8, 2) * (D6+D8)</f>
        <v>2.258825230174291E-3</v>
      </c>
      <c r="Q6" s="1" t="s">
        <v>17</v>
      </c>
    </row>
    <row r="7" spans="2:17" ht="35.25" customHeight="1" x14ac:dyDescent="0.3">
      <c r="B7" s="1" t="s">
        <v>62</v>
      </c>
      <c r="C7" s="1" t="s">
        <v>63</v>
      </c>
      <c r="D7" s="1">
        <v>84510</v>
      </c>
      <c r="E7" s="6" t="s">
        <v>36</v>
      </c>
      <c r="F7" s="1"/>
      <c r="G7" s="1"/>
      <c r="H7" s="1" t="s">
        <v>64</v>
      </c>
      <c r="I7" s="1" t="s">
        <v>65</v>
      </c>
      <c r="J7" s="13">
        <f>D5 / (D7 + D6)</f>
        <v>5.290445455507354E-5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3">
      <c r="B8" s="1" t="s">
        <v>66</v>
      </c>
      <c r="C8" s="1" t="s">
        <v>63</v>
      </c>
      <c r="D8" s="1">
        <v>1067.7</v>
      </c>
      <c r="E8" s="1" t="s">
        <v>36</v>
      </c>
      <c r="F8" s="1"/>
      <c r="G8" s="1"/>
      <c r="H8" s="1" t="s">
        <v>67</v>
      </c>
      <c r="I8" s="1" t="s">
        <v>68</v>
      </c>
      <c r="J8" s="13">
        <f>D5 / (D8 + D6)</f>
        <v>4.5176504603485819E-4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3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3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0"/>
      <c r="O10" s="10"/>
      <c r="P10" s="10"/>
      <c r="Q10" s="1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8"/>
  <sheetViews>
    <sheetView zoomScale="40" zoomScaleNormal="40" workbookViewId="0">
      <selection activeCell="Y15" sqref="Y15"/>
    </sheetView>
  </sheetViews>
  <sheetFormatPr defaultColWidth="9.109375" defaultRowHeight="35.25" customHeight="1" x14ac:dyDescent="0.3"/>
  <cols>
    <col min="1" max="1" width="40.6640625" style="5" customWidth="1"/>
    <col min="2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/>
      <c r="C2" s="12"/>
      <c r="D2" s="1"/>
      <c r="E2" s="1"/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/>
      <c r="C4" s="10"/>
      <c r="D4" s="10"/>
      <c r="E4" s="10"/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11"/>
  <sheetViews>
    <sheetView zoomScale="40" zoomScaleNormal="40" workbookViewId="0">
      <selection activeCell="G38" sqref="G38"/>
    </sheetView>
  </sheetViews>
  <sheetFormatPr defaultColWidth="9.109375" defaultRowHeight="35.25" customHeight="1" x14ac:dyDescent="0.3"/>
  <cols>
    <col min="1" max="1" width="40.6640625" style="5" customWidth="1"/>
    <col min="2" max="20" width="16.77734375" style="5" customWidth="1"/>
    <col min="21" max="16384" width="9.109375" style="5"/>
  </cols>
  <sheetData>
    <row r="1" spans="1:19" ht="150" customHeight="1" x14ac:dyDescent="0.3"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</row>
    <row r="2" spans="1:19" ht="35.25" customHeight="1" x14ac:dyDescent="0.3">
      <c r="B2" s="15" t="s">
        <v>70</v>
      </c>
      <c r="C2" s="15"/>
      <c r="D2" s="15" t="s">
        <v>71</v>
      </c>
      <c r="E2" s="15"/>
      <c r="F2" s="15" t="s">
        <v>72</v>
      </c>
      <c r="G2" s="15"/>
      <c r="H2" s="10"/>
      <c r="I2" s="15" t="s">
        <v>87</v>
      </c>
      <c r="J2" s="15"/>
      <c r="K2" s="15"/>
      <c r="L2" s="15"/>
    </row>
    <row r="3" spans="1:19" ht="35.25" customHeight="1" x14ac:dyDescent="0.3">
      <c r="B3" s="10" t="s">
        <v>69</v>
      </c>
      <c r="C3" s="10" t="s">
        <v>73</v>
      </c>
      <c r="D3" s="10" t="s">
        <v>69</v>
      </c>
      <c r="E3" s="10" t="s">
        <v>73</v>
      </c>
      <c r="F3" s="10" t="s">
        <v>69</v>
      </c>
      <c r="G3" s="10" t="s">
        <v>73</v>
      </c>
      <c r="I3" s="15" t="s">
        <v>69</v>
      </c>
      <c r="J3" s="15"/>
      <c r="K3" s="15" t="s">
        <v>73</v>
      </c>
      <c r="L3" s="15"/>
    </row>
    <row r="4" spans="1:19" ht="35.25" customHeight="1" x14ac:dyDescent="0.3">
      <c r="A4" s="1" t="s">
        <v>74</v>
      </c>
      <c r="B4" s="1">
        <v>4.25</v>
      </c>
      <c r="C4" s="1">
        <v>0.75</v>
      </c>
      <c r="D4" s="1">
        <v>3.5</v>
      </c>
      <c r="E4" s="1">
        <v>2.5</v>
      </c>
      <c r="F4" s="1">
        <v>4.5</v>
      </c>
      <c r="G4" s="1">
        <v>0.5</v>
      </c>
      <c r="H4" s="10"/>
      <c r="I4" s="1" t="s">
        <v>80</v>
      </c>
      <c r="J4" s="1" t="s">
        <v>81</v>
      </c>
      <c r="K4" s="1" t="s">
        <v>84</v>
      </c>
      <c r="L4" s="1" t="s">
        <v>85</v>
      </c>
    </row>
    <row r="5" spans="1:19" ht="35.25" customHeight="1" x14ac:dyDescent="0.3">
      <c r="A5" s="1" t="s">
        <v>75</v>
      </c>
      <c r="B5" s="1">
        <v>4.2569999999999997</v>
      </c>
      <c r="C5" s="1">
        <v>0.74299999999999999</v>
      </c>
      <c r="D5" s="1">
        <v>3.4060000000000001</v>
      </c>
      <c r="E5" s="1">
        <v>2.5</v>
      </c>
      <c r="F5" s="1">
        <v>4.468</v>
      </c>
      <c r="G5" s="1">
        <v>0.53200000000000003</v>
      </c>
      <c r="H5" s="1"/>
      <c r="I5" s="1" t="s">
        <v>50</v>
      </c>
      <c r="J5" s="1" t="s">
        <v>86</v>
      </c>
      <c r="K5" s="1" t="s">
        <v>50</v>
      </c>
      <c r="L5" s="1" t="s">
        <v>86</v>
      </c>
    </row>
    <row r="6" spans="1:19" ht="35.25" customHeight="1" x14ac:dyDescent="0.3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3">
      <c r="B8" s="15" t="s">
        <v>70</v>
      </c>
      <c r="C8" s="15"/>
      <c r="D8" s="15"/>
      <c r="E8" s="15"/>
      <c r="F8" s="15" t="s">
        <v>71</v>
      </c>
      <c r="G8" s="15"/>
      <c r="H8" s="15"/>
      <c r="I8" s="15"/>
      <c r="J8" s="15" t="s">
        <v>72</v>
      </c>
      <c r="K8" s="15"/>
      <c r="L8" s="15"/>
      <c r="M8" s="15"/>
      <c r="N8" s="1"/>
      <c r="O8" s="1"/>
      <c r="P8" s="1"/>
      <c r="Q8" s="1"/>
      <c r="R8" s="1"/>
      <c r="S8" s="1"/>
    </row>
    <row r="9" spans="1:19" ht="35.25" customHeight="1" x14ac:dyDescent="0.3">
      <c r="B9" s="15" t="s">
        <v>69</v>
      </c>
      <c r="C9" s="15"/>
      <c r="D9" s="15" t="s">
        <v>73</v>
      </c>
      <c r="E9" s="15"/>
      <c r="F9" s="15" t="s">
        <v>69</v>
      </c>
      <c r="G9" s="15"/>
      <c r="H9" s="15" t="s">
        <v>73</v>
      </c>
      <c r="I9" s="15"/>
      <c r="J9" s="15" t="s">
        <v>69</v>
      </c>
      <c r="K9" s="15"/>
      <c r="L9" s="15" t="s">
        <v>73</v>
      </c>
      <c r="M9" s="15"/>
    </row>
    <row r="10" spans="1:19" ht="35.25" customHeight="1" x14ac:dyDescent="0.3">
      <c r="B10" s="1" t="s">
        <v>56</v>
      </c>
      <c r="C10" s="1" t="s">
        <v>76</v>
      </c>
      <c r="D10" s="1" t="s">
        <v>56</v>
      </c>
      <c r="E10" s="1" t="s">
        <v>76</v>
      </c>
      <c r="F10" s="1" t="s">
        <v>56</v>
      </c>
      <c r="G10" s="1" t="s">
        <v>76</v>
      </c>
      <c r="H10" s="1" t="s">
        <v>56</v>
      </c>
      <c r="I10" s="1" t="s">
        <v>76</v>
      </c>
      <c r="J10" s="1" t="s">
        <v>56</v>
      </c>
      <c r="K10" s="1" t="s">
        <v>76</v>
      </c>
      <c r="L10" s="1" t="s">
        <v>56</v>
      </c>
      <c r="M10" s="1" t="s">
        <v>76</v>
      </c>
    </row>
    <row r="11" spans="1:19" ht="35.25" customHeight="1" x14ac:dyDescent="0.3">
      <c r="A11" s="1" t="s">
        <v>75</v>
      </c>
      <c r="B11" s="9" t="s">
        <v>77</v>
      </c>
      <c r="C11" s="13" t="s">
        <v>78</v>
      </c>
      <c r="D11" s="1" t="s">
        <v>82</v>
      </c>
      <c r="E11" s="1" t="s">
        <v>77</v>
      </c>
      <c r="F11" s="9" t="s">
        <v>79</v>
      </c>
      <c r="G11" s="13" t="s">
        <v>82</v>
      </c>
      <c r="H11" s="1" t="s">
        <v>82</v>
      </c>
      <c r="I11" s="1" t="s">
        <v>82</v>
      </c>
      <c r="J11" s="9" t="s">
        <v>83</v>
      </c>
      <c r="K11" s="13" t="s">
        <v>82</v>
      </c>
      <c r="L11" s="1" t="s">
        <v>82</v>
      </c>
      <c r="M11" s="1" t="s">
        <v>83</v>
      </c>
    </row>
  </sheetData>
  <mergeCells count="15">
    <mergeCell ref="J9:K9"/>
    <mergeCell ref="L9:M9"/>
    <mergeCell ref="I2:L2"/>
    <mergeCell ref="I3:J3"/>
    <mergeCell ref="K3:L3"/>
    <mergeCell ref="B9:C9"/>
    <mergeCell ref="B8:E8"/>
    <mergeCell ref="D9:E9"/>
    <mergeCell ref="F8:I8"/>
    <mergeCell ref="F9:G9"/>
    <mergeCell ref="H9:I9"/>
    <mergeCell ref="B2:C2"/>
    <mergeCell ref="D2:E2"/>
    <mergeCell ref="F2:G2"/>
    <mergeCell ref="J8:M8"/>
  </mergeCells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2E54-9BDB-4BF6-80B7-49457B01E1DD}">
  <dimension ref="B1:Q8"/>
  <sheetViews>
    <sheetView zoomScale="55" zoomScaleNormal="55" workbookViewId="0">
      <selection activeCell="R14" sqref="R14"/>
    </sheetView>
  </sheetViews>
  <sheetFormatPr defaultColWidth="9.109375" defaultRowHeight="35.25" customHeight="1" x14ac:dyDescent="0.3"/>
  <cols>
    <col min="1" max="1" width="40.6640625" style="5" customWidth="1"/>
    <col min="2" max="2" width="34.44140625" style="5" customWidth="1"/>
    <col min="3" max="3" width="52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8" customHeight="1" x14ac:dyDescent="0.3">
      <c r="B3" s="1" t="s">
        <v>90</v>
      </c>
      <c r="C3" s="9" t="s">
        <v>92</v>
      </c>
      <c r="D3" s="5">
        <v>16000</v>
      </c>
      <c r="E3" s="1" t="s">
        <v>91</v>
      </c>
    </row>
    <row r="4" spans="2:17" ht="35.25" customHeight="1" x14ac:dyDescent="0.3">
      <c r="B4" s="1" t="s">
        <v>93</v>
      </c>
      <c r="C4" s="1" t="s">
        <v>94</v>
      </c>
      <c r="D4" s="5">
        <f>D3 / 2</f>
        <v>8000</v>
      </c>
      <c r="E4" s="1" t="s">
        <v>91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56</v>
      </c>
      <c r="C5" s="1" t="s">
        <v>11</v>
      </c>
      <c r="D5" s="5">
        <v>4700</v>
      </c>
      <c r="E5" s="5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 t="s">
        <v>88</v>
      </c>
      <c r="C6" s="1" t="s">
        <v>89</v>
      </c>
      <c r="D6" s="1">
        <f>1 / (2 * PI() * D5 *D4)</f>
        <v>4.232844231167429E-9</v>
      </c>
      <c r="E6" s="1" t="s">
        <v>95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Current Sensor</vt:lpstr>
      <vt:lpstr>Temp Sensor</vt:lpstr>
      <vt:lpstr>Voltage Sensor</vt:lpstr>
      <vt:lpstr>Window Comparator</vt:lpstr>
      <vt:lpstr>Anti-Aliasing Filter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Reuben Baddington</cp:lastModifiedBy>
  <cp:revision/>
  <dcterms:created xsi:type="dcterms:W3CDTF">2026-08-14T06:23:50Z</dcterms:created>
  <dcterms:modified xsi:type="dcterms:W3CDTF">2026-08-23T23:44:24Z</dcterms:modified>
  <cp:category/>
  <cp:contentStatus/>
</cp:coreProperties>
</file>