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FEF83167-29AA-4D2C-9F19-8FB03B27FB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7" i="2" l="1"/>
  <c r="D15" i="11"/>
  <c r="D14" i="11"/>
  <c r="D11" i="11"/>
  <c r="D10" i="11"/>
  <c r="D8" i="11"/>
  <c r="G15" i="6"/>
  <c r="F15" i="6"/>
  <c r="C15" i="6"/>
  <c r="B15" i="6"/>
  <c r="E15" i="6"/>
  <c r="D15" i="6"/>
  <c r="G5" i="6"/>
  <c r="F5" i="6"/>
  <c r="E5" i="6"/>
  <c r="D5" i="6"/>
  <c r="C5" i="6"/>
  <c r="B5" i="6"/>
  <c r="D11" i="9"/>
  <c r="D10" i="9"/>
  <c r="J6" i="1"/>
  <c r="D6" i="9"/>
  <c r="D4" i="9"/>
  <c r="J6" i="2"/>
  <c r="J5" i="2"/>
  <c r="J8" i="2"/>
  <c r="P6" i="2" s="1"/>
  <c r="J7" i="2"/>
  <c r="P5" i="2" s="1"/>
  <c r="J10" i="1"/>
  <c r="P7" i="1"/>
  <c r="P6" i="1"/>
  <c r="J7" i="1"/>
  <c r="J8" i="1" l="1"/>
  <c r="J12" i="1"/>
  <c r="J14" i="1" s="1"/>
  <c r="P9" i="1" s="1"/>
  <c r="J9" i="1"/>
  <c r="J11" i="1"/>
  <c r="J13" i="1" s="1"/>
  <c r="P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8" authorId="0" shapeId="0" xr:uid="{A8C3D8B6-DE33-455B-B275-8AD8B41344DB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E12, E6,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10" authorId="0" shapeId="0" xr:uid="{221E7002-277B-4444-82F3-0C45745BDF2C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  <comment ref="B11" authorId="0" shapeId="0" xr:uid="{05951897-3565-4077-B2AF-9907F205D955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</commentList>
</comments>
</file>

<file path=xl/sharedStrings.xml><?xml version="1.0" encoding="utf-8"?>
<sst xmlns="http://schemas.openxmlformats.org/spreadsheetml/2006/main" count="262" uniqueCount="127">
  <si>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</si>
  <si>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</si>
  <si>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</si>
  <si>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</si>
  <si>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</si>
  <si>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</si>
  <si>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</si>
  <si>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</si>
  <si>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</si>
  <si>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</si>
  <si>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</si>
  <si>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</si>
  <si>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</si>
  <si>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</si>
  <si>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</si>
  <si>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</si>
  <si>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</si>
  <si>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</si>
  <si>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</si>
  <si>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</si>
  <si>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</si>
  <si>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</si>
  <si>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</si>
  <si>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</si>
  <si>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</si>
  <si>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</si>
  <si>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</si>
  <si>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</si>
  <si>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</si>
  <si>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</si>
  <si>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</si>
  <si>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</si>
  <si>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</si>
  <si>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</si>
  <si>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</si>
  <si>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</si>
  <si>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</si>
  <si>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</si>
  <si>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</si>
  <si>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</si>
  <si>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</si>
  <si>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</si>
  <si>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</si>
  <si>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</si>
  <si>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</si>
  <si>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</si>
  <si>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</si>
  <si>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</si>
  <si>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</si>
  <si>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</si>
  <si>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</si>
  <si>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</si>
  <si>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</si>
  <si>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</si>
  <si>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</si>
  <si>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</si>
  <si>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</si>
  <si>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</si>
  <si>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</si>
  <si>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</si>
  <si>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</si>
  <si>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</si>
  <si>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</si>
  <si>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</si>
  <si>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</si>
  <si>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</si>
  <si>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</si>
  <si>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</si>
  <si>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</si>
  <si>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</si>
  <si>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</si>
  <si>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</si>
  <si>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</si>
  <si>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</si>
  <si>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</si>
  <si>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</si>
  <si>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</si>
  <si>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R3</t>
  </si>
  <si>
    <t>R4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</si>
  <si>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</si>
  <si>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</si>
  <si>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</si>
  <si>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</si>
  <si>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</si>
  <si>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</si>
  <si>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</si>
  <si>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</si>
  <si>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</si>
  <si>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</si>
  <si>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</si>
  <si>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</si>
  <si>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Test value for simulations</t>
  </si>
  <si>
    <t>Vv_min</t>
  </si>
  <si>
    <t>Minimum super cap voltage</t>
  </si>
  <si>
    <t>Vv_max</t>
  </si>
  <si>
    <t>Maximum super cap voltage</t>
  </si>
  <si>
    <t>Chosen Parameters</t>
  </si>
  <si>
    <t>1 / (2*pi*R1*C1)</t>
  </si>
  <si>
    <t>(kΩ)</t>
  </si>
  <si>
    <t>Min (A)</t>
  </si>
  <si>
    <t>Max (A)</t>
  </si>
  <si>
    <t>Min (V)</t>
  </si>
  <si>
    <t>Max (V)</t>
  </si>
  <si>
    <t>Min (Ω)</t>
  </si>
  <si>
    <t>Max (Ω)</t>
  </si>
  <si>
    <r>
      <t>Max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</si>
  <si>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r>
      <t>Min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</si>
  <si>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t>(approximated from datasheet)</t>
  </si>
  <si>
    <t>C_touch_sensor (no touch)</t>
  </si>
  <si>
    <t>C_touch_sensor (yes touch)</t>
  </si>
  <si>
    <t>f_0 (no touch)</t>
  </si>
  <si>
    <t>f_0 (yes touch)</t>
  </si>
  <si>
    <t>1 / (-2 * ln(1/3) * R3 * C)</t>
  </si>
  <si>
    <t>T/C frequency</t>
  </si>
  <si>
    <t>no. clock cycles (no touch)</t>
  </si>
  <si>
    <t>no. clock cycles (yes touch)</t>
  </si>
  <si>
    <t>2 MHz / 1</t>
  </si>
  <si>
    <t>TC frequency / f_0</t>
  </si>
  <si>
    <t>V_high</t>
  </si>
  <si>
    <t>R_25</t>
  </si>
  <si>
    <t>R_t / R_25</t>
  </si>
  <si>
    <t>(-V_high * R1) / (R_25 * (V_high - Vcc))</t>
  </si>
  <si>
    <t>Corresponding temp range: -15°C to -20°C</t>
  </si>
  <si>
    <t>Supply voltage</t>
  </si>
  <si>
    <t>Thermistor resistance at 25°C</t>
  </si>
  <si>
    <t>Sensor max output voltage</t>
  </si>
  <si>
    <t>Here the snesor output voltage is chosen, then the temperature is determined. Kind of reverse of the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</si>
</sst>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E+00"/>
    <numFmt numFmtId="166" formatCode="0.000"/>
  </numFmts>
  <fonts count="16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1"/>
      <name val="Aptos Narrow"/>
      <family val="2"/>
    </font>
    <font>
      <sz val="18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1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1450964</xdr:colOff>
      <xdr:row>14</xdr:row>
      <xdr:rowOff>307963</xdr:rowOff>
    </xdr:from>
    <xdr:to>
      <xdr:col>4</xdr:col>
      <xdr:colOff>103910</xdr:colOff>
      <xdr:row>30</xdr:row>
      <xdr:rowOff>281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964" y="8551418"/>
          <a:ext cx="9684628" cy="68897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19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8</xdr:row>
      <xdr:rowOff>95250</xdr:rowOff>
    </xdr:from>
    <xdr:to>
      <xdr:col>10</xdr:col>
      <xdr:colOff>152400</xdr:colOff>
      <xdr:row>21</xdr:row>
      <xdr:rowOff>342900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454C22-703E-E42A-236D-E42CA973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8450" y="506730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359550</xdr:colOff>
      <xdr:row>1</xdr:row>
      <xdr:rowOff>92850</xdr:rowOff>
    </xdr:from>
    <xdr:to>
      <xdr:col>39</xdr:col>
      <xdr:colOff>7125</xdr:colOff>
      <xdr:row>11</xdr:row>
      <xdr:rowOff>302400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9113" y="1997850"/>
          <a:ext cx="4600575" cy="4733925"/>
        </a:xfrm>
        <a:prstGeom prst="rect">
          <a:avLst/>
        </a:prstGeom>
      </xdr:spPr>
    </xdr:pic>
    <xdr:clientData/>
  </xdr:twoCellAnchor>
  <xdr:twoCellAnchor editAs="oneCell">
    <xdr:from>
      <xdr:col>14</xdr:col>
      <xdr:colOff>552450</xdr:colOff>
      <xdr:row>1</xdr:row>
      <xdr:rowOff>76200</xdr:rowOff>
    </xdr:from>
    <xdr:to>
      <xdr:col>31</xdr:col>
      <xdr:colOff>128588</xdr:colOff>
      <xdr:row>18</xdr:row>
      <xdr:rowOff>266699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16513" y="1981200"/>
          <a:ext cx="13101638" cy="78819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27709</xdr:colOff>
      <xdr:row>1</xdr:row>
      <xdr:rowOff>55418</xdr:rowOff>
    </xdr:from>
    <xdr:to>
      <xdr:col>17</xdr:col>
      <xdr:colOff>132484</xdr:colOff>
      <xdr:row>8</xdr:row>
      <xdr:rowOff>282286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09BFFD-8358-3974-9E54-9931187A5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5309" y="1967345"/>
          <a:ext cx="6962775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opLeftCell="A3" zoomScale="55" zoomScaleNormal="55" workbookViewId="0">
      <selection activeCell="E8" sqref="E8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24"/>
      <c r="C4" s="24"/>
      <c r="D4" s="24"/>
      <c r="E4" s="24"/>
      <c r="F4" s="1"/>
      <c r="G4" s="1"/>
      <c r="H4" s="26" t="s">
        <v>4</v>
      </c>
      <c r="I4" s="27"/>
      <c r="J4" s="27"/>
      <c r="K4" s="27"/>
      <c r="N4" s="25" t="s">
        <v>5</v>
      </c>
      <c r="O4" s="25"/>
      <c r="P4" s="25"/>
      <c r="Q4" s="25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-1.4999999999999999E-2</v>
      </c>
      <c r="K6" s="1" t="s">
        <v>12</v>
      </c>
      <c r="N6" s="2" t="s">
        <v>15</v>
      </c>
      <c r="O6" s="2" t="s">
        <v>16</v>
      </c>
      <c r="P6" s="2">
        <f>POWER(D7,2)*D10</f>
        <v>2.2499999999999999E-2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1.4999999999999999E-2</v>
      </c>
      <c r="K7" s="1" t="s">
        <v>12</v>
      </c>
      <c r="N7" s="2" t="s">
        <v>22</v>
      </c>
      <c r="O7" s="2" t="s">
        <v>23</v>
      </c>
      <c r="P7" s="2">
        <f>POWER(D8,2)*D10</f>
        <v>2.2499999999999999E-2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1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2.3283333333333333E-2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2.3383333333333332E-2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3.4849999999999999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3.5150000000000001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3.4924999999999997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3.5075000000000003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7"/>
  <sheetViews>
    <sheetView tabSelected="1" zoomScale="40" zoomScaleNormal="40" workbookViewId="0">
      <selection activeCell="I16" sqref="I16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34.441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POWER(J7,2)*(D5+D7)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  <row r="11" spans="2:17" ht="99.6" customHeight="1" x14ac:dyDescent="0.3">
      <c r="N11" s="30" t="s">
        <v>126</v>
      </c>
      <c r="O11" s="30"/>
      <c r="P11" s="30"/>
      <c r="Q11" s="30"/>
    </row>
    <row r="12" spans="2:17" ht="35.25" customHeight="1" x14ac:dyDescent="0.3">
      <c r="N12" s="10" t="s">
        <v>6</v>
      </c>
      <c r="O12" s="10" t="s">
        <v>7</v>
      </c>
      <c r="P12" s="10" t="s">
        <v>8</v>
      </c>
      <c r="Q12" s="10" t="s">
        <v>9</v>
      </c>
    </row>
    <row r="13" spans="2:17" ht="35.25" customHeight="1" x14ac:dyDescent="0.3">
      <c r="N13" s="1" t="s">
        <v>51</v>
      </c>
      <c r="O13" s="1" t="s">
        <v>123</v>
      </c>
      <c r="P13" s="5">
        <v>5</v>
      </c>
      <c r="Q13" s="1" t="s">
        <v>12</v>
      </c>
    </row>
    <row r="14" spans="2:17" ht="35.25" customHeight="1" x14ac:dyDescent="0.3">
      <c r="N14" s="1" t="s">
        <v>56</v>
      </c>
      <c r="O14" s="1" t="s">
        <v>11</v>
      </c>
      <c r="P14" s="5">
        <v>10000</v>
      </c>
    </row>
    <row r="15" spans="2:17" ht="35.25" customHeight="1" x14ac:dyDescent="0.3">
      <c r="N15" s="1" t="s">
        <v>119</v>
      </c>
      <c r="O15" s="1" t="s">
        <v>124</v>
      </c>
      <c r="P15" s="5">
        <v>10000</v>
      </c>
      <c r="Q15" s="5" t="s">
        <v>36</v>
      </c>
    </row>
    <row r="16" spans="2:17" ht="34.799999999999997" customHeight="1" x14ac:dyDescent="0.3">
      <c r="I16" s="1"/>
      <c r="N16" s="1" t="s">
        <v>118</v>
      </c>
      <c r="O16" s="1" t="s">
        <v>125</v>
      </c>
      <c r="P16" s="5">
        <v>4.5</v>
      </c>
      <c r="Q16" s="1" t="s">
        <v>12</v>
      </c>
    </row>
    <row r="17" spans="14:17" ht="72.599999999999994" customHeight="1" x14ac:dyDescent="0.3">
      <c r="N17" s="1" t="s">
        <v>120</v>
      </c>
      <c r="O17" s="29" t="s">
        <v>121</v>
      </c>
      <c r="P17" s="5">
        <f>(-1*P16*P14)/(P15*(P16-P13))</f>
        <v>9</v>
      </c>
      <c r="Q17" s="9" t="s">
        <v>122</v>
      </c>
    </row>
  </sheetData>
  <mergeCells count="1">
    <mergeCell ref="N11:Q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F4" sqref="F4"/>
    </sheetView>
  </sheetViews>
  <sheetFormatPr defaultColWidth="9.109375"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5" customHeight="1" x14ac:dyDescent="0.3">
      <c r="B3" s="1" t="s">
        <v>92</v>
      </c>
      <c r="C3" s="9" t="s">
        <v>93</v>
      </c>
      <c r="D3" s="5">
        <v>2.5</v>
      </c>
      <c r="E3" s="1" t="s">
        <v>12</v>
      </c>
    </row>
    <row r="4" spans="2:17" ht="75" customHeight="1" x14ac:dyDescent="0.3">
      <c r="B4" s="1" t="s">
        <v>94</v>
      </c>
      <c r="C4" s="9" t="s">
        <v>95</v>
      </c>
      <c r="D4" s="1">
        <v>3.5</v>
      </c>
      <c r="E4" s="1" t="s">
        <v>12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7"/>
  <sheetViews>
    <sheetView zoomScale="70" zoomScaleNormal="70" workbookViewId="0">
      <selection activeCell="H17" sqref="H17"/>
    </sheetView>
  </sheetViews>
  <sheetFormatPr defaultColWidth="9.109375" defaultRowHeight="35.25" customHeight="1" x14ac:dyDescent="0.3"/>
  <cols>
    <col min="1" max="1" width="40.6640625" style="5" customWidth="1"/>
    <col min="2" max="20" width="16.6640625" style="5" customWidth="1"/>
    <col min="21" max="16384" width="9.109375" style="5"/>
  </cols>
  <sheetData>
    <row r="1" spans="1:19" ht="150" customHeight="1" x14ac:dyDescent="0.3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ht="35.25" customHeight="1" x14ac:dyDescent="0.3">
      <c r="B2" s="28" t="s">
        <v>70</v>
      </c>
      <c r="C2" s="28"/>
      <c r="D2" s="28" t="s">
        <v>71</v>
      </c>
      <c r="E2" s="28"/>
      <c r="F2" s="28" t="s">
        <v>72</v>
      </c>
      <c r="G2" s="28"/>
      <c r="H2" s="10"/>
      <c r="I2" s="28" t="s">
        <v>82</v>
      </c>
      <c r="J2" s="28"/>
      <c r="K2" s="28"/>
      <c r="L2" s="28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28" t="s">
        <v>69</v>
      </c>
      <c r="J3" s="28"/>
      <c r="K3" s="28" t="s">
        <v>73</v>
      </c>
      <c r="L3" s="28"/>
    </row>
    <row r="4" spans="1:19" ht="35.25" customHeight="1" x14ac:dyDescent="0.3">
      <c r="A4" s="1" t="s">
        <v>74</v>
      </c>
      <c r="B4" s="1">
        <v>4.2</v>
      </c>
      <c r="C4" s="1">
        <v>0.8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77</v>
      </c>
      <c r="J4" s="1" t="s">
        <v>78</v>
      </c>
      <c r="K4" s="1" t="s">
        <v>79</v>
      </c>
      <c r="L4" s="1" t="s">
        <v>80</v>
      </c>
    </row>
    <row r="5" spans="1:19" ht="35.25" customHeight="1" x14ac:dyDescent="0.3">
      <c r="A5" s="1" t="s">
        <v>75</v>
      </c>
      <c r="B5" s="18">
        <f>5*C11/(B11+C11)</f>
        <v>4.2572463768115938</v>
      </c>
      <c r="C5" s="18">
        <f>5*E11/(D11+E11)</f>
        <v>0.74275362318840576</v>
      </c>
      <c r="D5" s="18">
        <f>5*G11/(F11+G11)</f>
        <v>3.5652173913043477</v>
      </c>
      <c r="E5" s="18">
        <f>5*I11/(H11+I11)</f>
        <v>2.5</v>
      </c>
      <c r="F5" s="18">
        <f>5*K11/(J11+K11)</f>
        <v>4.4676806083650185</v>
      </c>
      <c r="G5" s="18">
        <f>5*M11/(L11+M11)</f>
        <v>0.53231939163498099</v>
      </c>
      <c r="H5" s="1"/>
      <c r="I5" s="1" t="s">
        <v>50</v>
      </c>
      <c r="J5" s="1" t="s">
        <v>81</v>
      </c>
      <c r="K5" s="1" t="s">
        <v>50</v>
      </c>
      <c r="L5" s="1" t="s">
        <v>81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28" t="s">
        <v>70</v>
      </c>
      <c r="C8" s="28"/>
      <c r="D8" s="28"/>
      <c r="E8" s="28"/>
      <c r="F8" s="28" t="s">
        <v>71</v>
      </c>
      <c r="G8" s="28"/>
      <c r="H8" s="28"/>
      <c r="I8" s="28"/>
      <c r="J8" s="28" t="s">
        <v>72</v>
      </c>
      <c r="K8" s="28"/>
      <c r="L8" s="28"/>
      <c r="M8" s="28"/>
      <c r="N8" s="1"/>
      <c r="O8" s="1"/>
      <c r="P8" s="1"/>
      <c r="Q8" s="1"/>
      <c r="R8" s="1"/>
      <c r="S8" s="1"/>
    </row>
    <row r="9" spans="1:19" ht="35.25" customHeight="1" x14ac:dyDescent="0.3">
      <c r="B9" s="28" t="s">
        <v>69</v>
      </c>
      <c r="C9" s="28"/>
      <c r="D9" s="28" t="s">
        <v>73</v>
      </c>
      <c r="E9" s="28"/>
      <c r="F9" s="28" t="s">
        <v>69</v>
      </c>
      <c r="G9" s="28"/>
      <c r="H9" s="28" t="s">
        <v>73</v>
      </c>
      <c r="I9" s="28"/>
      <c r="J9" s="28" t="s">
        <v>69</v>
      </c>
      <c r="K9" s="28"/>
      <c r="L9" s="28" t="s">
        <v>73</v>
      </c>
      <c r="M9" s="28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17">
        <v>8.1999999999999993</v>
      </c>
      <c r="C11" s="18">
        <v>47</v>
      </c>
      <c r="D11" s="18">
        <v>47</v>
      </c>
      <c r="E11" s="18">
        <v>8.1999999999999993</v>
      </c>
      <c r="F11" s="17">
        <v>3.3</v>
      </c>
      <c r="G11" s="18">
        <v>8.1999999999999993</v>
      </c>
      <c r="H11" s="18">
        <v>47</v>
      </c>
      <c r="I11" s="18">
        <v>47</v>
      </c>
      <c r="J11" s="17">
        <v>5.6</v>
      </c>
      <c r="K11" s="18">
        <v>47</v>
      </c>
      <c r="L11" s="18">
        <v>47</v>
      </c>
      <c r="M11" s="18">
        <v>5.6</v>
      </c>
      <c r="N11" s="1" t="s">
        <v>98</v>
      </c>
    </row>
    <row r="13" spans="1:19" ht="35.25" customHeight="1" x14ac:dyDescent="0.3">
      <c r="B13" s="28" t="s">
        <v>70</v>
      </c>
      <c r="C13" s="28"/>
      <c r="D13" s="28" t="s">
        <v>71</v>
      </c>
      <c r="E13" s="28"/>
      <c r="F13" s="28" t="s">
        <v>72</v>
      </c>
      <c r="G13" s="28"/>
    </row>
    <row r="14" spans="1:19" ht="35.25" customHeight="1" x14ac:dyDescent="0.3">
      <c r="B14" s="1" t="s">
        <v>99</v>
      </c>
      <c r="C14" s="1" t="s">
        <v>100</v>
      </c>
      <c r="D14" s="1" t="s">
        <v>101</v>
      </c>
      <c r="E14" s="1" t="s">
        <v>102</v>
      </c>
      <c r="F14" s="1" t="s">
        <v>103</v>
      </c>
      <c r="G14" s="1" t="s">
        <v>104</v>
      </c>
    </row>
    <row r="15" spans="1:19" ht="35.25" customHeight="1" x14ac:dyDescent="0.3">
      <c r="B15" s="5">
        <f>(C5-2.5)/(100*0.068)</f>
        <v>-0.25841858482523444</v>
      </c>
      <c r="C15" s="5">
        <f>(B5-2.5)/(100*0.068)</f>
        <v>0.25841858482523433</v>
      </c>
      <c r="D15" s="19">
        <f>E5</f>
        <v>2.5</v>
      </c>
      <c r="E15" s="19">
        <f>D5</f>
        <v>3.5652173913043477</v>
      </c>
      <c r="F15" s="5">
        <f>10000*G5/(5-G5)</f>
        <v>1191.4893617021276</v>
      </c>
      <c r="G15" s="5">
        <f>10000*F5/(5-F5)</f>
        <v>83928.571428571333</v>
      </c>
    </row>
    <row r="16" spans="1:19" ht="35.25" customHeight="1" x14ac:dyDescent="0.3">
      <c r="F16" s="1" t="s">
        <v>105</v>
      </c>
      <c r="G16" s="1" t="s">
        <v>106</v>
      </c>
    </row>
    <row r="17" spans="6:8" ht="35.25" customHeight="1" x14ac:dyDescent="0.3">
      <c r="F17" s="5">
        <v>77</v>
      </c>
      <c r="G17" s="5">
        <v>-10.1</v>
      </c>
      <c r="H17" s="20" t="s">
        <v>107</v>
      </c>
    </row>
  </sheetData>
  <mergeCells count="18">
    <mergeCell ref="I2:L2"/>
    <mergeCell ref="I3:J3"/>
    <mergeCell ref="K3:L3"/>
    <mergeCell ref="J8:M8"/>
    <mergeCell ref="B9:C9"/>
    <mergeCell ref="B8:E8"/>
    <mergeCell ref="D9:E9"/>
    <mergeCell ref="F8:I8"/>
    <mergeCell ref="F9:G9"/>
    <mergeCell ref="H9:I9"/>
    <mergeCell ref="J9:K9"/>
    <mergeCell ref="L9:M9"/>
    <mergeCell ref="B13:C13"/>
    <mergeCell ref="D13:E13"/>
    <mergeCell ref="F13:G13"/>
    <mergeCell ref="B2:C2"/>
    <mergeCell ref="D2:E2"/>
    <mergeCell ref="F2:G2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11"/>
  <sheetViews>
    <sheetView zoomScale="55" zoomScaleNormal="55" workbookViewId="0">
      <selection activeCell="B8" sqref="B8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5" customHeight="1" x14ac:dyDescent="0.3">
      <c r="B3" s="1" t="s">
        <v>85</v>
      </c>
      <c r="C3" s="9" t="s">
        <v>87</v>
      </c>
      <c r="D3" s="5">
        <v>16000</v>
      </c>
      <c r="E3" s="1" t="s">
        <v>86</v>
      </c>
    </row>
    <row r="4" spans="2:17" ht="35.25" customHeight="1" x14ac:dyDescent="0.3">
      <c r="B4" s="1" t="s">
        <v>88</v>
      </c>
      <c r="C4" s="1" t="s">
        <v>89</v>
      </c>
      <c r="D4" s="5">
        <f>D3 / 2</f>
        <v>8000</v>
      </c>
      <c r="E4" s="1" t="s">
        <v>86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83</v>
      </c>
      <c r="C6" s="1" t="s">
        <v>84</v>
      </c>
      <c r="D6" s="1">
        <f>1 / (2 * PI() * D5 *D4)</f>
        <v>4.232844231167429E-9</v>
      </c>
      <c r="E6" s="1" t="s">
        <v>90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0" t="s">
        <v>96</v>
      </c>
      <c r="C8" s="10" t="s">
        <v>7</v>
      </c>
      <c r="D8" s="10" t="s">
        <v>8</v>
      </c>
      <c r="E8" s="10" t="s">
        <v>9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3">
      <c r="B9" s="1" t="s">
        <v>56</v>
      </c>
      <c r="D9" s="5">
        <v>4700</v>
      </c>
      <c r="E9" s="1" t="s">
        <v>36</v>
      </c>
    </row>
    <row r="10" spans="2:17" ht="35.25" customHeight="1" x14ac:dyDescent="0.3">
      <c r="B10" s="1" t="s">
        <v>83</v>
      </c>
      <c r="D10" s="5">
        <f>0.0000000047</f>
        <v>4.6999999999999999E-9</v>
      </c>
      <c r="E10" s="1" t="s">
        <v>90</v>
      </c>
    </row>
    <row r="11" spans="2:17" ht="35.25" customHeight="1" x14ac:dyDescent="0.3">
      <c r="B11" s="1" t="s">
        <v>88</v>
      </c>
      <c r="C11" s="1" t="s">
        <v>97</v>
      </c>
      <c r="D11" s="5">
        <f>1/(2*PI()*D9*D10)</f>
        <v>7204.8412445403055</v>
      </c>
      <c r="E11" s="1" t="s">
        <v>86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15"/>
  <sheetViews>
    <sheetView zoomScale="55" zoomScaleNormal="55" workbookViewId="0">
      <selection activeCell="F20" sqref="F20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5" customHeight="1" x14ac:dyDescent="0.3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3">
      <c r="B4" s="1" t="s">
        <v>76</v>
      </c>
      <c r="C4" s="1"/>
      <c r="D4" s="1">
        <v>10000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77</v>
      </c>
      <c r="C5" s="1"/>
      <c r="D5" s="16">
        <v>470000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21" t="s">
        <v>108</v>
      </c>
      <c r="C7" s="1" t="s">
        <v>91</v>
      </c>
      <c r="D7" s="16">
        <v>1E-10</v>
      </c>
      <c r="E7" s="6" t="s">
        <v>90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21" t="s">
        <v>109</v>
      </c>
      <c r="C8" s="1" t="s">
        <v>91</v>
      </c>
      <c r="D8" s="16">
        <f>D7*1.05</f>
        <v>1.0500000000000001E-10</v>
      </c>
      <c r="E8" s="1" t="s">
        <v>90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10" spans="2:17" ht="35.25" customHeight="1" x14ac:dyDescent="0.3">
      <c r="B10" s="1" t="s">
        <v>110</v>
      </c>
      <c r="C10" s="1" t="s">
        <v>112</v>
      </c>
      <c r="D10" s="22">
        <f>1/(-2*LN(1/3)*D5*D7)</f>
        <v>9683.3960279450785</v>
      </c>
      <c r="E10" s="1" t="s">
        <v>86</v>
      </c>
    </row>
    <row r="11" spans="2:17" ht="35.25" customHeight="1" x14ac:dyDescent="0.3">
      <c r="B11" s="1" t="s">
        <v>111</v>
      </c>
      <c r="C11" s="1" t="s">
        <v>112</v>
      </c>
      <c r="D11" s="22">
        <f>1/(-2*LN(1/3)*D5*D8)</f>
        <v>9222.2819313762629</v>
      </c>
      <c r="E11" s="1" t="s">
        <v>86</v>
      </c>
    </row>
    <row r="13" spans="2:17" ht="35.25" customHeight="1" x14ac:dyDescent="0.3">
      <c r="B13" s="1" t="s">
        <v>113</v>
      </c>
      <c r="C13" s="1" t="s">
        <v>116</v>
      </c>
      <c r="D13" s="16">
        <v>2000000</v>
      </c>
      <c r="E13" s="1" t="s">
        <v>86</v>
      </c>
    </row>
    <row r="14" spans="2:17" ht="35.25" customHeight="1" x14ac:dyDescent="0.3">
      <c r="B14" s="21" t="s">
        <v>114</v>
      </c>
      <c r="C14" s="1" t="s">
        <v>117</v>
      </c>
      <c r="D14" s="23">
        <f>D13/D10</f>
        <v>206.53911026960463</v>
      </c>
    </row>
    <row r="15" spans="2:17" ht="35.25" customHeight="1" x14ac:dyDescent="0.3">
      <c r="B15" s="21" t="s">
        <v>115</v>
      </c>
      <c r="C15" s="1" t="s">
        <v>117</v>
      </c>
      <c r="D15" s="23">
        <f>D13/D11</f>
        <v>216.86606578308491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2026-08-27T22:54:52Z</dcterms:modified>
  <cp:category/>
  <cp:contentStatus/>
</cp:coreProperties>
</file>