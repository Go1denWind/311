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niversity\Engineering\Stage3\Semester2\ELECTENG 311\311\Excel\"/>
    </mc:Choice>
  </mc:AlternateContent>
  <xr:revisionPtr revIDLastSave="0" documentId="13_ncr:1_{F35946E6-0E9C-4E36-9C30-D1AE339D86FB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  <sheet name="Anti-Aliasing Filter" sheetId="9" r:id="rId5"/>
    <sheet name="Touch Sensor Oscillator" sheetId="11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  <c r="D6" i="9"/>
  <c r="D4" i="9"/>
  <c r="J6" i="2"/>
  <c r="J5" i="2"/>
  <c r="J8" i="2"/>
  <c r="P6" i="2" s="1"/>
  <c r="J7" i="2"/>
  <c r="P5" i="2" s="1"/>
  <c r="J10" i="1"/>
  <c r="P7" i="1"/>
  <c r="P6" i="1"/>
  <c r="J7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<sst xmlns="http://schemas.openxmlformats.org/spreadsheetml/2006/main" count="215" uniqueCount="102">
  <si>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</si>
  <si>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</si>
  <si>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</si>
  <si>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</si>
  <si>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</si>
  <si>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</si>
  <si>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</si>
  <si>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</si>
  <si>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</si>
  <si>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</si>
  <si>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</si>
  <si>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</si>
  <si>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</si>
  <si>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</si>
  <si>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</si>
  <si>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</si>
  <si>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</si>
  <si>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</si>
  <si>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</si>
  <si>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</si>
  <si>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</si>
  <si>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</si>
  <si>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</si>
  <si>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</si>
  <si>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</si>
  <si>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</si>
  <si>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</si>
  <si>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</si>
  <si>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</si>
  <si>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</si>
  <si>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</si>
  <si>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</si>
  <si>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</si>
  <si>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</si>
  <si>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</si>
  <si>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</si>
  <si>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</si>
  <si>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</si>
  <si>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</si>
  <si>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</si>
  <si>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</si>
  <si>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</si>
  <si>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</si>
  <si>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</si>
  <si>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</si>
  <si>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</si>
  <si>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</si>
  <si>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</si>
  <si>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</si>
  <si>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</si>
  <si>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</si>
  <si>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</si>
  <si>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</si>
  <si>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</si>
  <si>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</si>
  <si>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</si>
  <si>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</si>
  <si>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</si>
  <si>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</si>
  <si>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</si>
  <si>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</si>
  <si>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</si>
  <si>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</si>
  <si>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</si>
  <si>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</si>
  <si>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</si>
  <si>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</si>
  <si>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</si>
  <si>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</si>
  <si>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V_THH</t>
  </si>
  <si>
    <t>Current Sensor</t>
  </si>
  <si>
    <t>Voltage Sensor</t>
  </si>
  <si>
    <t>Temperature Sensor</t>
  </si>
  <si>
    <t>V_THL</t>
  </si>
  <si>
    <t>Theoretical</t>
  </si>
  <si>
    <t>Pratical</t>
  </si>
  <si>
    <t>R2</t>
  </si>
  <si>
    <t>8.2 kΩ</t>
  </si>
  <si>
    <t>47 KΩ</t>
  </si>
  <si>
    <t>22 kΩ</t>
  </si>
  <si>
    <t>R3</t>
  </si>
  <si>
    <t>R4</t>
  </si>
  <si>
    <t>47 kΩ</t>
  </si>
  <si>
    <t>5.6 kΩ</t>
  </si>
  <si>
    <t>R5</t>
  </si>
  <si>
    <t>R6</t>
  </si>
  <si>
    <t>470 k</t>
  </si>
  <si>
    <t xml:space="preserve">Threshold Hysteresis = 100 mV </t>
  </si>
  <si>
    <t>C1</t>
  </si>
  <si>
    <t>1 / 2 *pi * R1 * f_cutoff</t>
  </si>
  <si>
    <t>f_sample</t>
  </si>
  <si>
    <t>Hz</t>
  </si>
  <si>
    <t>For an ADC clock of 200 kHz, at 13 cycles per sample</t>
  </si>
  <si>
    <t>f_cutoff</t>
  </si>
  <si>
    <t>f_sample / 2</t>
  </si>
  <si>
    <t>F</t>
  </si>
  <si>
    <t>C_touch_sensor</t>
  </si>
  <si>
    <t>Test value for simulations</t>
  </si>
  <si>
    <t>Vv_min</t>
  </si>
  <si>
    <t>Minimum super cap voltage</t>
  </si>
  <si>
    <t>Vv_max</t>
  </si>
  <si>
    <t>Maximum super cap 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</si>
</sst>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82826</xdr:colOff>
      <xdr:row>14</xdr:row>
      <xdr:rowOff>82826</xdr:rowOff>
    </xdr:from>
    <xdr:to>
      <xdr:col>7</xdr:col>
      <xdr:colOff>1867315</xdr:colOff>
      <xdr:row>33</xdr:row>
      <xdr:rowOff>4556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5B386D9-2BD7-471E-5C49-9D7ED902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5783" y="8282609"/>
          <a:ext cx="12220575" cy="84105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9</xdr:row>
      <xdr:rowOff>0</xdr:rowOff>
    </xdr:from>
    <xdr:to>
      <xdr:col>7</xdr:col>
      <xdr:colOff>1790700</xdr:colOff>
      <xdr:row>22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2C36A2F-BE78-B6F1-8A67-F7B46D62F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0" y="6572250"/>
          <a:ext cx="11144250" cy="57340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57150</xdr:colOff>
      <xdr:row>8</xdr:row>
      <xdr:rowOff>95250</xdr:rowOff>
    </xdr:from>
    <xdr:to>
      <xdr:col>10</xdr:col>
      <xdr:colOff>152400</xdr:colOff>
      <xdr:row>21</xdr:row>
      <xdr:rowOff>342900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454C22-703E-E42A-236D-E42CA9732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8450" y="5067300"/>
          <a:ext cx="11449050" cy="5943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73800</xdr:colOff>
      <xdr:row>12</xdr:row>
      <xdr:rowOff>92850</xdr:rowOff>
    </xdr:from>
    <xdr:to>
      <xdr:col>17</xdr:col>
      <xdr:colOff>197625</xdr:colOff>
      <xdr:row>22</xdr:row>
      <xdr:rowOff>302400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F5A5C0B-A9EE-BF20-75EF-01EF3DC68E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71100" y="6817500"/>
          <a:ext cx="4695825" cy="45910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12</xdr:row>
      <xdr:rowOff>76200</xdr:rowOff>
    </xdr:from>
    <xdr:to>
      <xdr:col>12</xdr:col>
      <xdr:colOff>962025</xdr:colOff>
      <xdr:row>29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F28B648-1910-0276-5D8B-E83709E2A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0" y="6800850"/>
          <a:ext cx="13363575" cy="7639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27709</xdr:colOff>
      <xdr:row>1</xdr:row>
      <xdr:rowOff>55418</xdr:rowOff>
    </xdr:from>
    <xdr:to>
      <xdr:col>17</xdr:col>
      <xdr:colOff>132484</xdr:colOff>
      <xdr:row>8</xdr:row>
      <xdr:rowOff>282286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09BFFD-8358-3974-9E54-9931187A5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5309" y="1967345"/>
          <a:ext cx="6962775" cy="3829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110836</xdr:colOff>
      <xdr:row>0</xdr:row>
      <xdr:rowOff>1898073</xdr:rowOff>
    </xdr:from>
    <xdr:to>
      <xdr:col>17</xdr:col>
      <xdr:colOff>510886</xdr:colOff>
      <xdr:row>14</xdr:row>
      <xdr:rowOff>229466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FF338C-212C-9281-FBE3-BEBD0665B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88436" y="1898073"/>
          <a:ext cx="7258050" cy="65055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55" zoomScaleNormal="55" workbookViewId="0">
      <selection activeCell="G1" sqref="G1"/>
    </sheetView>
  </sheetViews>
  <sheetFormatPr defaultColWidth="9.109375" defaultRowHeight="35.25" customHeight="1" x14ac:dyDescent="0.3"/>
  <cols>
    <col min="1" max="1" width="40.6640625" style="2" customWidth="1"/>
    <col min="2" max="2" width="67.33203125" style="2" customWidth="1"/>
    <col min="3" max="3" width="38.6640625" style="2" customWidth="1"/>
    <col min="4" max="4" width="18.6640625" style="2" customWidth="1"/>
    <col min="5" max="7" width="9.109375" style="2"/>
    <col min="8" max="9" width="38.6640625" style="2" customWidth="1"/>
    <col min="10" max="10" width="18.6640625" style="2" customWidth="1"/>
    <col min="11" max="13" width="9.109375" style="2"/>
    <col min="14" max="14" width="47.6640625" style="2" customWidth="1"/>
    <col min="15" max="15" width="76.109375" style="2" customWidth="1"/>
    <col min="16" max="16" width="18.6640625" style="2" customWidth="1"/>
    <col min="17" max="16384" width="9.109375" style="2"/>
  </cols>
  <sheetData>
    <row r="1" spans="2:17" ht="150" customHeight="1" x14ac:dyDescent="0.3">
      <c r="B1" s="7"/>
    </row>
    <row r="2" spans="2:17" ht="35.25" customHeight="1" x14ac:dyDescent="0.3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 x14ac:dyDescent="0.3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 x14ac:dyDescent="0.4">
      <c r="B4" s="17"/>
      <c r="C4" s="17"/>
      <c r="D4" s="17"/>
      <c r="E4" s="17"/>
      <c r="F4" s="1"/>
      <c r="G4" s="1"/>
      <c r="H4" s="19" t="s">
        <v>4</v>
      </c>
      <c r="I4" s="20"/>
      <c r="J4" s="20"/>
      <c r="K4" s="20"/>
      <c r="N4" s="18" t="s">
        <v>5</v>
      </c>
      <c r="O4" s="18"/>
      <c r="P4" s="18"/>
      <c r="Q4" s="18"/>
    </row>
    <row r="5" spans="2:17" ht="35.25" customHeight="1" x14ac:dyDescent="0.3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 x14ac:dyDescent="0.3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 x14ac:dyDescent="0.3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 x14ac:dyDescent="0.3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 x14ac:dyDescent="0.3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 x14ac:dyDescent="0.3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 x14ac:dyDescent="0.3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 x14ac:dyDescent="0.3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 x14ac:dyDescent="0.3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 x14ac:dyDescent="0.3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B4" sqref="B4:E4"/>
    </sheetView>
  </sheetViews>
  <sheetFormatPr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7" width="9.109375" style="5" customWidth="1"/>
    <col min="8" max="8" width="34.44140625" style="5" customWidth="1"/>
    <col min="9" max="9" width="40.88671875" style="5" customWidth="1"/>
    <col min="10" max="10" width="25.44140625" style="5" customWidth="1"/>
    <col min="11" max="11" width="9.6640625" style="5" customWidth="1"/>
    <col min="12" max="13" width="9.109375" style="5" customWidth="1"/>
    <col min="14" max="14" width="34.44140625" style="5" customWidth="1"/>
    <col min="15" max="15" width="52.88671875" style="5" customWidth="1"/>
    <col min="16" max="16" width="17.5546875" style="5" customWidth="1"/>
    <col min="17" max="17" width="9.6640625" style="5" customWidth="1"/>
    <col min="18" max="16380" width="9.109375" style="5" customWidth="1"/>
    <col min="16381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 x14ac:dyDescent="0.3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 x14ac:dyDescent="0.3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 x14ac:dyDescent="0.3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 x14ac:dyDescent="0.3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 x14ac:dyDescent="0.3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 x14ac:dyDescent="0.3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 x14ac:dyDescent="0.3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 x14ac:dyDescent="0.3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0"/>
      <c r="O10" s="10"/>
      <c r="P10" s="10"/>
      <c r="Q10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>
      <selection activeCell="F4" sqref="F4"/>
    </sheetView>
  </sheetViews>
  <sheetFormatPr defaultColWidth="9.109375" defaultRowHeight="35.25" customHeight="1" x14ac:dyDescent="0.3"/>
  <cols>
    <col min="1" max="1" width="40.6640625" style="5" customWidth="1"/>
    <col min="2" max="2" width="58.6640625" style="5" customWidth="1"/>
    <col min="3" max="3" width="33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5" customHeight="1" x14ac:dyDescent="0.3">
      <c r="B3" s="1" t="s">
        <v>98</v>
      </c>
      <c r="C3" s="9" t="s">
        <v>99</v>
      </c>
      <c r="D3" s="5">
        <v>2.5</v>
      </c>
      <c r="E3" s="1" t="s">
        <v>12</v>
      </c>
    </row>
    <row r="4" spans="2:17" ht="75" customHeight="1" x14ac:dyDescent="0.3">
      <c r="B4" s="1" t="s">
        <v>100</v>
      </c>
      <c r="C4" s="9" t="s">
        <v>101</v>
      </c>
      <c r="D4" s="1">
        <v>3.5</v>
      </c>
      <c r="E4" s="1" t="s">
        <v>12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A1:S11"/>
  <sheetViews>
    <sheetView zoomScale="40" zoomScaleNormal="40" workbookViewId="0">
      <selection activeCell="N10" sqref="N10"/>
    </sheetView>
  </sheetViews>
  <sheetFormatPr defaultColWidth="9.109375" defaultRowHeight="35.25" customHeight="1" x14ac:dyDescent="0.3"/>
  <cols>
    <col min="1" max="1" width="40.6640625" style="5" customWidth="1"/>
    <col min="2" max="20" width="16.77734375" style="5" customWidth="1"/>
    <col min="21" max="16384" width="9.109375" style="5"/>
  </cols>
  <sheetData>
    <row r="1" spans="1:19" ht="150" customHeight="1" x14ac:dyDescent="0.3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</row>
    <row r="2" spans="1:19" ht="35.25" customHeight="1" x14ac:dyDescent="0.3">
      <c r="B2" s="21" t="s">
        <v>70</v>
      </c>
      <c r="C2" s="21"/>
      <c r="D2" s="21" t="s">
        <v>71</v>
      </c>
      <c r="E2" s="21"/>
      <c r="F2" s="21" t="s">
        <v>72</v>
      </c>
      <c r="G2" s="21"/>
      <c r="H2" s="10"/>
      <c r="I2" s="21" t="s">
        <v>87</v>
      </c>
      <c r="J2" s="21"/>
      <c r="K2" s="21"/>
      <c r="L2" s="21"/>
    </row>
    <row r="3" spans="1:19" ht="35.25" customHeight="1" x14ac:dyDescent="0.3">
      <c r="B3" s="10" t="s">
        <v>69</v>
      </c>
      <c r="C3" s="10" t="s">
        <v>73</v>
      </c>
      <c r="D3" s="10" t="s">
        <v>69</v>
      </c>
      <c r="E3" s="10" t="s">
        <v>73</v>
      </c>
      <c r="F3" s="10" t="s">
        <v>69</v>
      </c>
      <c r="G3" s="10" t="s">
        <v>73</v>
      </c>
      <c r="I3" s="21" t="s">
        <v>69</v>
      </c>
      <c r="J3" s="21"/>
      <c r="K3" s="21" t="s">
        <v>73</v>
      </c>
      <c r="L3" s="21"/>
    </row>
    <row r="4" spans="1:19" ht="35.25" customHeight="1" x14ac:dyDescent="0.3">
      <c r="A4" s="1" t="s">
        <v>74</v>
      </c>
      <c r="B4" s="1">
        <v>4.25</v>
      </c>
      <c r="C4" s="1">
        <v>0.75</v>
      </c>
      <c r="D4" s="1">
        <v>3.5</v>
      </c>
      <c r="E4" s="1">
        <v>2.5</v>
      </c>
      <c r="F4" s="1">
        <v>4.5</v>
      </c>
      <c r="G4" s="1">
        <v>0.5</v>
      </c>
      <c r="H4" s="10"/>
      <c r="I4" s="1" t="s">
        <v>80</v>
      </c>
      <c r="J4" s="1" t="s">
        <v>81</v>
      </c>
      <c r="K4" s="1" t="s">
        <v>84</v>
      </c>
      <c r="L4" s="1" t="s">
        <v>85</v>
      </c>
    </row>
    <row r="5" spans="1:19" ht="35.25" customHeight="1" x14ac:dyDescent="0.3">
      <c r="A5" s="1" t="s">
        <v>75</v>
      </c>
      <c r="B5" s="1">
        <v>4.2569999999999997</v>
      </c>
      <c r="C5" s="1">
        <v>0.74299999999999999</v>
      </c>
      <c r="D5" s="1">
        <v>3.4060000000000001</v>
      </c>
      <c r="E5" s="1">
        <v>2.5</v>
      </c>
      <c r="F5" s="1">
        <v>4.468</v>
      </c>
      <c r="G5" s="1">
        <v>0.53200000000000003</v>
      </c>
      <c r="H5" s="1"/>
      <c r="I5" s="1" t="s">
        <v>50</v>
      </c>
      <c r="J5" s="1" t="s">
        <v>86</v>
      </c>
      <c r="K5" s="1" t="s">
        <v>50</v>
      </c>
      <c r="L5" s="1" t="s">
        <v>86</v>
      </c>
    </row>
    <row r="6" spans="1:19" ht="35.25" customHeight="1" x14ac:dyDescent="0.3">
      <c r="B6" s="1"/>
      <c r="C6" s="9"/>
      <c r="D6" s="1"/>
      <c r="E6" s="6"/>
      <c r="F6" s="1"/>
      <c r="G6" s="1"/>
      <c r="H6" s="1"/>
      <c r="K6" s="1"/>
      <c r="L6" s="1"/>
      <c r="M6" s="1"/>
      <c r="N6" s="1"/>
      <c r="O6" s="1"/>
      <c r="P6" s="14"/>
      <c r="Q6" s="1"/>
      <c r="R6" s="1"/>
      <c r="S6" s="1"/>
    </row>
    <row r="7" spans="1:19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1:19" ht="35.25" customHeight="1" x14ac:dyDescent="0.3">
      <c r="B8" s="21" t="s">
        <v>70</v>
      </c>
      <c r="C8" s="21"/>
      <c r="D8" s="21"/>
      <c r="E8" s="21"/>
      <c r="F8" s="21" t="s">
        <v>71</v>
      </c>
      <c r="G8" s="21"/>
      <c r="H8" s="21"/>
      <c r="I8" s="21"/>
      <c r="J8" s="21" t="s">
        <v>72</v>
      </c>
      <c r="K8" s="21"/>
      <c r="L8" s="21"/>
      <c r="M8" s="21"/>
      <c r="N8" s="1"/>
      <c r="O8" s="1"/>
      <c r="P8" s="1"/>
      <c r="Q8" s="1"/>
      <c r="R8" s="1"/>
      <c r="S8" s="1"/>
    </row>
    <row r="9" spans="1:19" ht="35.25" customHeight="1" x14ac:dyDescent="0.3">
      <c r="B9" s="21" t="s">
        <v>69</v>
      </c>
      <c r="C9" s="21"/>
      <c r="D9" s="21" t="s">
        <v>73</v>
      </c>
      <c r="E9" s="21"/>
      <c r="F9" s="21" t="s">
        <v>69</v>
      </c>
      <c r="G9" s="21"/>
      <c r="H9" s="21" t="s">
        <v>73</v>
      </c>
      <c r="I9" s="21"/>
      <c r="J9" s="21" t="s">
        <v>69</v>
      </c>
      <c r="K9" s="21"/>
      <c r="L9" s="21" t="s">
        <v>73</v>
      </c>
      <c r="M9" s="21"/>
    </row>
    <row r="10" spans="1:19" ht="35.25" customHeight="1" x14ac:dyDescent="0.3">
      <c r="B10" s="1" t="s">
        <v>56</v>
      </c>
      <c r="C10" s="1" t="s">
        <v>76</v>
      </c>
      <c r="D10" s="1" t="s">
        <v>56</v>
      </c>
      <c r="E10" s="1" t="s">
        <v>76</v>
      </c>
      <c r="F10" s="1" t="s">
        <v>56</v>
      </c>
      <c r="G10" s="1" t="s">
        <v>76</v>
      </c>
      <c r="H10" s="1" t="s">
        <v>56</v>
      </c>
      <c r="I10" s="1" t="s">
        <v>76</v>
      </c>
      <c r="J10" s="1" t="s">
        <v>56</v>
      </c>
      <c r="K10" s="1" t="s">
        <v>76</v>
      </c>
      <c r="L10" s="1" t="s">
        <v>56</v>
      </c>
      <c r="M10" s="1" t="s">
        <v>76</v>
      </c>
    </row>
    <row r="11" spans="1:19" ht="35.25" customHeight="1" x14ac:dyDescent="0.3">
      <c r="A11" s="1" t="s">
        <v>75</v>
      </c>
      <c r="B11" s="9" t="s">
        <v>77</v>
      </c>
      <c r="C11" s="13" t="s">
        <v>78</v>
      </c>
      <c r="D11" s="1" t="s">
        <v>82</v>
      </c>
      <c r="E11" s="1" t="s">
        <v>77</v>
      </c>
      <c r="F11" s="9" t="s">
        <v>79</v>
      </c>
      <c r="G11" s="13" t="s">
        <v>82</v>
      </c>
      <c r="H11" s="1" t="s">
        <v>82</v>
      </c>
      <c r="I11" s="1" t="s">
        <v>82</v>
      </c>
      <c r="J11" s="9" t="s">
        <v>83</v>
      </c>
      <c r="K11" s="13" t="s">
        <v>82</v>
      </c>
      <c r="L11" s="1" t="s">
        <v>82</v>
      </c>
      <c r="M11" s="1" t="s">
        <v>83</v>
      </c>
    </row>
  </sheetData>
  <mergeCells count="15">
    <mergeCell ref="B2:C2"/>
    <mergeCell ref="D2:E2"/>
    <mergeCell ref="F2:G2"/>
    <mergeCell ref="J8:M8"/>
    <mergeCell ref="B9:C9"/>
    <mergeCell ref="B8:E8"/>
    <mergeCell ref="D9:E9"/>
    <mergeCell ref="F8:I8"/>
    <mergeCell ref="F9:G9"/>
    <mergeCell ref="H9:I9"/>
    <mergeCell ref="J9:K9"/>
    <mergeCell ref="L9:M9"/>
    <mergeCell ref="I2:L2"/>
    <mergeCell ref="I3:J3"/>
    <mergeCell ref="K3:L3"/>
  </mergeCells>
  <phoneticPr fontId="1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2E54-9BDB-4BF6-80B7-49457B01E1DD}">
  <dimension ref="B1:Q8"/>
  <sheetViews>
    <sheetView tabSelected="1" zoomScale="55" zoomScaleNormal="55" workbookViewId="0">
      <selection activeCell="V10" sqref="V10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90</v>
      </c>
      <c r="C3" s="9" t="s">
        <v>92</v>
      </c>
      <c r="D3" s="5">
        <v>16000</v>
      </c>
      <c r="E3" s="1" t="s">
        <v>91</v>
      </c>
    </row>
    <row r="4" spans="2:17" ht="35.25" customHeight="1" x14ac:dyDescent="0.3">
      <c r="B4" s="1" t="s">
        <v>93</v>
      </c>
      <c r="C4" s="1" t="s">
        <v>94</v>
      </c>
      <c r="D4" s="5">
        <f>D3 / 2</f>
        <v>8000</v>
      </c>
      <c r="E4" s="1" t="s">
        <v>91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56</v>
      </c>
      <c r="C5" s="1" t="s">
        <v>11</v>
      </c>
      <c r="D5" s="5">
        <v>4700</v>
      </c>
      <c r="E5" s="1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88</v>
      </c>
      <c r="C6" s="1" t="s">
        <v>89</v>
      </c>
      <c r="D6" s="1">
        <f>1 / (2 * PI() * D5 *D4)</f>
        <v>4.232844231167429E-9</v>
      </c>
      <c r="E6" s="1" t="s">
        <v>95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5C97-B701-49E8-8D17-B57E480030E6}">
  <dimension ref="B1:Q8"/>
  <sheetViews>
    <sheetView zoomScale="55" zoomScaleNormal="55" workbookViewId="0">
      <selection activeCell="C3" sqref="C3"/>
    </sheetView>
  </sheetViews>
  <sheetFormatPr defaultColWidth="9.109375" defaultRowHeight="35.25" customHeight="1" x14ac:dyDescent="0.3"/>
  <cols>
    <col min="1" max="1" width="40.6640625" style="5" customWidth="1"/>
    <col min="2" max="2" width="34.44140625" style="5" customWidth="1"/>
    <col min="3" max="3" width="52.88671875" style="5" customWidth="1"/>
    <col min="4" max="4" width="17.5546875" style="5" customWidth="1"/>
    <col min="5" max="5" width="9.6640625" style="5" customWidth="1"/>
    <col min="6" max="16384" width="9.109375" style="5"/>
  </cols>
  <sheetData>
    <row r="1" spans="2:17" ht="150" customHeight="1" x14ac:dyDescent="0.3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 x14ac:dyDescent="0.3">
      <c r="B2" s="10" t="s">
        <v>6</v>
      </c>
      <c r="C2" s="10" t="s">
        <v>7</v>
      </c>
      <c r="D2" s="10" t="s">
        <v>8</v>
      </c>
      <c r="E2" s="10" t="s">
        <v>9</v>
      </c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3" spans="2:17" ht="73.8" customHeight="1" x14ac:dyDescent="0.3">
      <c r="B3" s="1" t="s">
        <v>56</v>
      </c>
      <c r="C3" s="9"/>
      <c r="D3" s="9">
        <v>10000</v>
      </c>
      <c r="E3" s="1" t="s">
        <v>36</v>
      </c>
    </row>
    <row r="4" spans="2:17" ht="35.25" customHeight="1" x14ac:dyDescent="0.3">
      <c r="B4" s="1" t="s">
        <v>76</v>
      </c>
      <c r="C4" s="1"/>
      <c r="D4" s="1">
        <v>47000</v>
      </c>
      <c r="E4" s="1" t="s">
        <v>36</v>
      </c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 x14ac:dyDescent="0.3">
      <c r="B5" s="1" t="s">
        <v>80</v>
      </c>
      <c r="C5" s="1"/>
      <c r="D5" s="16">
        <v>10000</v>
      </c>
      <c r="E5" s="5" t="s">
        <v>36</v>
      </c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 x14ac:dyDescent="0.3">
      <c r="B6" s="1" t="s">
        <v>30</v>
      </c>
      <c r="C6" s="1"/>
      <c r="D6" s="1">
        <v>2.5</v>
      </c>
      <c r="E6" s="1" t="s">
        <v>12</v>
      </c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 x14ac:dyDescent="0.3">
      <c r="B7" s="1" t="s">
        <v>96</v>
      </c>
      <c r="C7" s="1" t="s">
        <v>97</v>
      </c>
      <c r="D7" s="16">
        <v>9.9999999999999995E-7</v>
      </c>
      <c r="E7" s="6" t="s">
        <v>95</v>
      </c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 x14ac:dyDescent="0.3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Current Sensor</vt:lpstr>
      <vt:lpstr>Temp Sensor</vt:lpstr>
      <vt:lpstr>Voltage Sensor</vt:lpstr>
      <vt:lpstr>Window Comparator</vt:lpstr>
      <vt:lpstr>Anti-Aliasing Filter</vt:lpstr>
      <vt:lpstr>Touch Sensor Oscillator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2026-08-24T08:26:04Z</dcterms:modified>
  <cp:category/>
  <cp:contentStatus/>
</cp:coreProperties>
</file>